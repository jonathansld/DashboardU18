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61fa96436fc973e/Bureau/Document Jo/PREPARATION PHYSIQUE/MHR/2025-2026/CADETTES/TESTS/"/>
    </mc:Choice>
  </mc:AlternateContent>
  <xr:revisionPtr revIDLastSave="2042" documentId="14_{D09DE642-A2F3-4AEE-955C-625592E4355D}" xr6:coauthVersionLast="47" xr6:coauthVersionMax="47" xr10:uidLastSave="{7C69BE10-4584-4959-9CC1-1B0A1AE0A938}"/>
  <bookViews>
    <workbookView xWindow="-120" yWindow="-120" windowWidth="20730" windowHeight="11040" firstSheet="1" activeTab="5" xr2:uid="{1EA1EE0A-CC90-420F-9BEC-F5BFE91F787D}"/>
  </bookViews>
  <sheets>
    <sheet name="Septembre" sheetId="1" r:id="rId1"/>
    <sheet name="Feuil3" sheetId="6" r:id="rId2"/>
    <sheet name="Novembre" sheetId="3" r:id="rId3"/>
    <sheet name="Janvier" sheetId="7" r:id="rId4"/>
    <sheet name="Mars (3RM + taille)" sheetId="9" r:id="rId5"/>
    <sheet name="Mai" sheetId="10" r:id="rId6"/>
    <sheet name="grp travail proto" sheetId="8" r:id="rId7"/>
    <sheet name="ADMIN" sheetId="2" r:id="rId8"/>
  </sheets>
  <definedNames>
    <definedName name="Abdominaux">ADMIN!$J$2:$J$28</definedName>
    <definedName name="DORSAUX">ADMIN!$P$2:$P$16</definedName>
    <definedName name="EPAULES">ADMIN!$H$2:$H$41</definedName>
    <definedName name="FESSIERS">ADMIN!$N$2:$N$14</definedName>
    <definedName name="ListeTest">ADMIN!$D$2:$D$10</definedName>
    <definedName name="ListGroupe">ADMIN!$B$13:$B$18</definedName>
    <definedName name="ListNom">ADMIN!$A$2:$A$27</definedName>
    <definedName name="ListPoste">ADMIN!$B$2:$B$9</definedName>
    <definedName name="ListTest">ADMIN!$D$2:$D$9</definedName>
    <definedName name="PECTORAUX">ADMIN!$F$2:$F$22</definedName>
    <definedName name="QUADRICEPS">ADMIN!$L$2:$L$42</definedName>
    <definedName name="TBL_Fin">#REF!</definedName>
    <definedName name="TBL_PostTest_Controle" localSheetId="5">Tableau7911[#All]</definedName>
    <definedName name="TBL_PostTest_Controle">Tableau7911[#All]</definedName>
    <definedName name="TBL_PostTest_Test" localSheetId="5">Tableau710[#All]</definedName>
    <definedName name="TBL_PostTest_Test">Tableau710[#All]</definedName>
    <definedName name="TBL_PréTest_Controle" localSheetId="5">Tableau79[#All]</definedName>
    <definedName name="TBL_PréTest_Controle">Tableau79[#All]</definedName>
    <definedName name="TBL_PréTest_Test" localSheetId="5">Tableau7[#All]</definedName>
    <definedName name="TBL_PréTest_Test">Tableau7[#All]</definedName>
  </definedNames>
  <calcPr calcId="191028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10" l="1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J31" i="10"/>
  <c r="AK31" i="10"/>
  <c r="M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AJ30" i="10"/>
  <c r="AK30" i="10" s="1"/>
  <c r="AH30" i="10"/>
  <c r="AI30" i="10" s="1"/>
  <c r="AF30" i="10"/>
  <c r="AG30" i="10" s="1"/>
  <c r="AD30" i="10"/>
  <c r="AE30" i="10" s="1"/>
  <c r="Z30" i="10"/>
  <c r="AC30" i="10" s="1"/>
  <c r="Y30" i="10"/>
  <c r="AB30" i="10" s="1"/>
  <c r="X30" i="10"/>
  <c r="AA30" i="10" s="1"/>
  <c r="W30" i="10"/>
  <c r="AJ29" i="10"/>
  <c r="AK29" i="10" s="1"/>
  <c r="AH29" i="10"/>
  <c r="AI29" i="10" s="1"/>
  <c r="AF29" i="10"/>
  <c r="AG29" i="10" s="1"/>
  <c r="AD29" i="10"/>
  <c r="AE29" i="10" s="1"/>
  <c r="Z29" i="10"/>
  <c r="AC29" i="10" s="1"/>
  <c r="Y29" i="10"/>
  <c r="AB29" i="10" s="1"/>
  <c r="X29" i="10"/>
  <c r="AA29" i="10" s="1"/>
  <c r="W29" i="10"/>
  <c r="AJ28" i="10"/>
  <c r="AK28" i="10" s="1"/>
  <c r="AH28" i="10"/>
  <c r="AI28" i="10" s="1"/>
  <c r="AF28" i="10"/>
  <c r="AG28" i="10" s="1"/>
  <c r="AD28" i="10"/>
  <c r="AE28" i="10" s="1"/>
  <c r="Z28" i="10"/>
  <c r="AC28" i="10" s="1"/>
  <c r="Y28" i="10"/>
  <c r="AB28" i="10" s="1"/>
  <c r="X28" i="10"/>
  <c r="AA28" i="10" s="1"/>
  <c r="W28" i="10"/>
  <c r="AJ27" i="10"/>
  <c r="AK27" i="10" s="1"/>
  <c r="AH27" i="10"/>
  <c r="AI27" i="10" s="1"/>
  <c r="AF27" i="10"/>
  <c r="AG27" i="10" s="1"/>
  <c r="AD27" i="10"/>
  <c r="AE27" i="10" s="1"/>
  <c r="Z27" i="10"/>
  <c r="AC27" i="10" s="1"/>
  <c r="Y27" i="10"/>
  <c r="AB27" i="10" s="1"/>
  <c r="X27" i="10"/>
  <c r="AA27" i="10" s="1"/>
  <c r="W27" i="10"/>
  <c r="AJ26" i="10"/>
  <c r="AK26" i="10" s="1"/>
  <c r="AH26" i="10"/>
  <c r="AI26" i="10" s="1"/>
  <c r="AF26" i="10"/>
  <c r="AG26" i="10" s="1"/>
  <c r="AD26" i="10"/>
  <c r="AE26" i="10" s="1"/>
  <c r="Z26" i="10"/>
  <c r="AC26" i="10" s="1"/>
  <c r="Y26" i="10"/>
  <c r="AB26" i="10" s="1"/>
  <c r="X26" i="10"/>
  <c r="AA26" i="10" s="1"/>
  <c r="W26" i="10"/>
  <c r="AJ25" i="10"/>
  <c r="AK25" i="10" s="1"/>
  <c r="AH25" i="10"/>
  <c r="AI25" i="10" s="1"/>
  <c r="AF25" i="10"/>
  <c r="AG25" i="10" s="1"/>
  <c r="AD25" i="10"/>
  <c r="AE25" i="10" s="1"/>
  <c r="Z25" i="10"/>
  <c r="AC25" i="10" s="1"/>
  <c r="Y25" i="10"/>
  <c r="AB25" i="10" s="1"/>
  <c r="X25" i="10"/>
  <c r="AA25" i="10" s="1"/>
  <c r="W25" i="10"/>
  <c r="AJ24" i="10"/>
  <c r="AK24" i="10" s="1"/>
  <c r="AH24" i="10"/>
  <c r="AI24" i="10" s="1"/>
  <c r="AF24" i="10"/>
  <c r="AG24" i="10" s="1"/>
  <c r="AD24" i="10"/>
  <c r="AE24" i="10" s="1"/>
  <c r="Z24" i="10"/>
  <c r="AC24" i="10" s="1"/>
  <c r="Y24" i="10"/>
  <c r="AB24" i="10" s="1"/>
  <c r="X24" i="10"/>
  <c r="AA24" i="10" s="1"/>
  <c r="W24" i="10"/>
  <c r="AJ23" i="10"/>
  <c r="AK23" i="10" s="1"/>
  <c r="AH23" i="10"/>
  <c r="AI23" i="10" s="1"/>
  <c r="AF23" i="10"/>
  <c r="AG23" i="10" s="1"/>
  <c r="AD23" i="10"/>
  <c r="AE23" i="10" s="1"/>
  <c r="Z23" i="10"/>
  <c r="AC23" i="10" s="1"/>
  <c r="Y23" i="10"/>
  <c r="AB23" i="10" s="1"/>
  <c r="X23" i="10"/>
  <c r="AA23" i="10" s="1"/>
  <c r="W23" i="10"/>
  <c r="AJ22" i="10"/>
  <c r="AK22" i="10" s="1"/>
  <c r="AH22" i="10"/>
  <c r="AI22" i="10" s="1"/>
  <c r="AF22" i="10"/>
  <c r="AG22" i="10" s="1"/>
  <c r="AD22" i="10"/>
  <c r="AE22" i="10" s="1"/>
  <c r="Z22" i="10"/>
  <c r="AC22" i="10" s="1"/>
  <c r="Y22" i="10"/>
  <c r="AB22" i="10" s="1"/>
  <c r="X22" i="10"/>
  <c r="AA22" i="10" s="1"/>
  <c r="W22" i="10"/>
  <c r="AJ21" i="10"/>
  <c r="AK21" i="10" s="1"/>
  <c r="AH21" i="10"/>
  <c r="AI21" i="10" s="1"/>
  <c r="AF21" i="10"/>
  <c r="AG21" i="10" s="1"/>
  <c r="AD21" i="10"/>
  <c r="AE21" i="10" s="1"/>
  <c r="Z21" i="10"/>
  <c r="AC21" i="10" s="1"/>
  <c r="Y21" i="10"/>
  <c r="AB21" i="10" s="1"/>
  <c r="X21" i="10"/>
  <c r="AA21" i="10" s="1"/>
  <c r="W21" i="10"/>
  <c r="AJ20" i="10"/>
  <c r="AK20" i="10" s="1"/>
  <c r="AH20" i="10"/>
  <c r="AI20" i="10" s="1"/>
  <c r="AF20" i="10"/>
  <c r="AG20" i="10" s="1"/>
  <c r="AD20" i="10"/>
  <c r="AE20" i="10" s="1"/>
  <c r="Z20" i="10"/>
  <c r="AC20" i="10" s="1"/>
  <c r="Y20" i="10"/>
  <c r="AB20" i="10" s="1"/>
  <c r="X20" i="10"/>
  <c r="AA20" i="10" s="1"/>
  <c r="W20" i="10"/>
  <c r="AJ19" i="10"/>
  <c r="AK19" i="10" s="1"/>
  <c r="AH19" i="10"/>
  <c r="AI19" i="10" s="1"/>
  <c r="AF19" i="10"/>
  <c r="AG19" i="10" s="1"/>
  <c r="AD19" i="10"/>
  <c r="AE19" i="10" s="1"/>
  <c r="Z19" i="10"/>
  <c r="AC19" i="10" s="1"/>
  <c r="Y19" i="10"/>
  <c r="AB19" i="10" s="1"/>
  <c r="X19" i="10"/>
  <c r="AA19" i="10" s="1"/>
  <c r="W19" i="10"/>
  <c r="AJ18" i="10"/>
  <c r="AK18" i="10" s="1"/>
  <c r="AH18" i="10"/>
  <c r="AI18" i="10" s="1"/>
  <c r="AF18" i="10"/>
  <c r="AG18" i="10" s="1"/>
  <c r="AD18" i="10"/>
  <c r="AE18" i="10" s="1"/>
  <c r="Z18" i="10"/>
  <c r="AC18" i="10" s="1"/>
  <c r="Y18" i="10"/>
  <c r="AB18" i="10" s="1"/>
  <c r="X18" i="10"/>
  <c r="AA18" i="10" s="1"/>
  <c r="W18" i="10"/>
  <c r="AJ17" i="10"/>
  <c r="AK17" i="10" s="1"/>
  <c r="AH17" i="10"/>
  <c r="AI17" i="10" s="1"/>
  <c r="AF17" i="10"/>
  <c r="AG17" i="10" s="1"/>
  <c r="AD17" i="10"/>
  <c r="AE17" i="10" s="1"/>
  <c r="Z17" i="10"/>
  <c r="AC17" i="10" s="1"/>
  <c r="Y17" i="10"/>
  <c r="AB17" i="10" s="1"/>
  <c r="X17" i="10"/>
  <c r="AA17" i="10" s="1"/>
  <c r="W17" i="10"/>
  <c r="AJ16" i="10"/>
  <c r="AK16" i="10" s="1"/>
  <c r="AH16" i="10"/>
  <c r="AI16" i="10" s="1"/>
  <c r="AF16" i="10"/>
  <c r="AG16" i="10" s="1"/>
  <c r="AD16" i="10"/>
  <c r="AE16" i="10" s="1"/>
  <c r="Z16" i="10"/>
  <c r="AC16" i="10" s="1"/>
  <c r="Y16" i="10"/>
  <c r="AB16" i="10" s="1"/>
  <c r="X16" i="10"/>
  <c r="AA16" i="10" s="1"/>
  <c r="W16" i="10"/>
  <c r="AJ15" i="10"/>
  <c r="AK15" i="10" s="1"/>
  <c r="AH15" i="10"/>
  <c r="AI15" i="10" s="1"/>
  <c r="AF15" i="10"/>
  <c r="AG15" i="10" s="1"/>
  <c r="AD15" i="10"/>
  <c r="AE15" i="10" s="1"/>
  <c r="Z15" i="10"/>
  <c r="AC15" i="10" s="1"/>
  <c r="Y15" i="10"/>
  <c r="AB15" i="10" s="1"/>
  <c r="X15" i="10"/>
  <c r="AA15" i="10" s="1"/>
  <c r="W15" i="10"/>
  <c r="AJ14" i="10"/>
  <c r="AK14" i="10" s="1"/>
  <c r="AH14" i="10"/>
  <c r="AI14" i="10" s="1"/>
  <c r="AF14" i="10"/>
  <c r="AG14" i="10" s="1"/>
  <c r="AD14" i="10"/>
  <c r="AE14" i="10" s="1"/>
  <c r="Z14" i="10"/>
  <c r="AC14" i="10" s="1"/>
  <c r="Y14" i="10"/>
  <c r="AB14" i="10" s="1"/>
  <c r="X14" i="10"/>
  <c r="AA14" i="10" s="1"/>
  <c r="W14" i="10"/>
  <c r="AJ13" i="10"/>
  <c r="AK13" i="10" s="1"/>
  <c r="AH13" i="10"/>
  <c r="AI13" i="10" s="1"/>
  <c r="AF13" i="10"/>
  <c r="AG13" i="10" s="1"/>
  <c r="AD13" i="10"/>
  <c r="AE13" i="10" s="1"/>
  <c r="Z13" i="10"/>
  <c r="AC13" i="10" s="1"/>
  <c r="Y13" i="10"/>
  <c r="AB13" i="10" s="1"/>
  <c r="X13" i="10"/>
  <c r="AA13" i="10" s="1"/>
  <c r="W13" i="10"/>
  <c r="AJ12" i="10"/>
  <c r="AK12" i="10" s="1"/>
  <c r="AH12" i="10"/>
  <c r="AI12" i="10" s="1"/>
  <c r="AF12" i="10"/>
  <c r="AG12" i="10" s="1"/>
  <c r="AD12" i="10"/>
  <c r="AE12" i="10" s="1"/>
  <c r="Z12" i="10"/>
  <c r="AC12" i="10" s="1"/>
  <c r="Y12" i="10"/>
  <c r="AB12" i="10" s="1"/>
  <c r="X12" i="10"/>
  <c r="AA12" i="10" s="1"/>
  <c r="W12" i="10"/>
  <c r="AJ11" i="10"/>
  <c r="AK11" i="10" s="1"/>
  <c r="AH11" i="10"/>
  <c r="AI11" i="10" s="1"/>
  <c r="AF11" i="10"/>
  <c r="AG11" i="10" s="1"/>
  <c r="AD11" i="10"/>
  <c r="AE11" i="10" s="1"/>
  <c r="Z11" i="10"/>
  <c r="AC11" i="10" s="1"/>
  <c r="Y11" i="10"/>
  <c r="AB11" i="10" s="1"/>
  <c r="X11" i="10"/>
  <c r="AA11" i="10" s="1"/>
  <c r="W11" i="10"/>
  <c r="AJ10" i="10"/>
  <c r="AK10" i="10" s="1"/>
  <c r="AH10" i="10"/>
  <c r="AI10" i="10" s="1"/>
  <c r="AF10" i="10"/>
  <c r="AG10" i="10" s="1"/>
  <c r="AD10" i="10"/>
  <c r="AE10" i="10" s="1"/>
  <c r="Z10" i="10"/>
  <c r="AC10" i="10" s="1"/>
  <c r="Y10" i="10"/>
  <c r="AB10" i="10" s="1"/>
  <c r="X10" i="10"/>
  <c r="AA10" i="10" s="1"/>
  <c r="W10" i="10"/>
  <c r="AJ9" i="10"/>
  <c r="AK9" i="10" s="1"/>
  <c r="AH9" i="10"/>
  <c r="AI9" i="10" s="1"/>
  <c r="AF9" i="10"/>
  <c r="AG9" i="10" s="1"/>
  <c r="AD9" i="10"/>
  <c r="AE9" i="10" s="1"/>
  <c r="Z9" i="10"/>
  <c r="AC9" i="10" s="1"/>
  <c r="Y9" i="10"/>
  <c r="AB9" i="10" s="1"/>
  <c r="X9" i="10"/>
  <c r="AA9" i="10" s="1"/>
  <c r="W9" i="10"/>
  <c r="AJ8" i="10"/>
  <c r="AK8" i="10" s="1"/>
  <c r="AH8" i="10"/>
  <c r="AI8" i="10" s="1"/>
  <c r="AF8" i="10"/>
  <c r="AG8" i="10" s="1"/>
  <c r="AD8" i="10"/>
  <c r="AE8" i="10" s="1"/>
  <c r="Z8" i="10"/>
  <c r="AC8" i="10" s="1"/>
  <c r="Y8" i="10"/>
  <c r="AB8" i="10" s="1"/>
  <c r="X8" i="10"/>
  <c r="AA8" i="10" s="1"/>
  <c r="W8" i="10"/>
  <c r="AJ7" i="10"/>
  <c r="AK7" i="10" s="1"/>
  <c r="AH7" i="10"/>
  <c r="AI7" i="10" s="1"/>
  <c r="AF7" i="10"/>
  <c r="AG7" i="10" s="1"/>
  <c r="AD7" i="10"/>
  <c r="AE7" i="10" s="1"/>
  <c r="Z7" i="10"/>
  <c r="AC7" i="10" s="1"/>
  <c r="Y7" i="10"/>
  <c r="AB7" i="10" s="1"/>
  <c r="X7" i="10"/>
  <c r="AA7" i="10" s="1"/>
  <c r="W7" i="10"/>
  <c r="AJ6" i="10"/>
  <c r="AK6" i="10" s="1"/>
  <c r="AH6" i="10"/>
  <c r="AI6" i="10" s="1"/>
  <c r="AF6" i="10"/>
  <c r="AG6" i="10" s="1"/>
  <c r="AD6" i="10"/>
  <c r="AE6" i="10" s="1"/>
  <c r="Z6" i="10"/>
  <c r="AC6" i="10" s="1"/>
  <c r="Y6" i="10"/>
  <c r="AB6" i="10" s="1"/>
  <c r="X6" i="10"/>
  <c r="AA6" i="10" s="1"/>
  <c r="W6" i="10"/>
  <c r="AJ5" i="10"/>
  <c r="AK5" i="10" s="1"/>
  <c r="AH5" i="10"/>
  <c r="AI5" i="10" s="1"/>
  <c r="AF5" i="10"/>
  <c r="AG5" i="10" s="1"/>
  <c r="AD5" i="10"/>
  <c r="AE5" i="10" s="1"/>
  <c r="Z5" i="10"/>
  <c r="AC5" i="10" s="1"/>
  <c r="Y5" i="10"/>
  <c r="AB5" i="10" s="1"/>
  <c r="X5" i="10"/>
  <c r="AA5" i="10" s="1"/>
  <c r="W5" i="10"/>
  <c r="AJ4" i="10"/>
  <c r="AK4" i="10" s="1"/>
  <c r="AH4" i="10"/>
  <c r="AI4" i="10" s="1"/>
  <c r="AF4" i="10"/>
  <c r="AG4" i="10" s="1"/>
  <c r="AD4" i="10"/>
  <c r="AE4" i="10" s="1"/>
  <c r="Z4" i="10"/>
  <c r="AC4" i="10" s="1"/>
  <c r="Y4" i="10"/>
  <c r="AB4" i="10" s="1"/>
  <c r="X4" i="10"/>
  <c r="AA4" i="10" s="1"/>
  <c r="W4" i="10"/>
  <c r="AJ3" i="10"/>
  <c r="AK3" i="10" s="1"/>
  <c r="AH3" i="10"/>
  <c r="AI3" i="10" s="1"/>
  <c r="AF3" i="10"/>
  <c r="AG3" i="10" s="1"/>
  <c r="AD3" i="10"/>
  <c r="AE3" i="10" s="1"/>
  <c r="Z3" i="10"/>
  <c r="AC3" i="10" s="1"/>
  <c r="Y3" i="10"/>
  <c r="AB3" i="10" s="1"/>
  <c r="X3" i="10"/>
  <c r="AA3" i="10" s="1"/>
  <c r="W3" i="10"/>
  <c r="AJ2" i="10"/>
  <c r="AK2" i="10" s="1"/>
  <c r="AH2" i="10"/>
  <c r="AI2" i="10" s="1"/>
  <c r="AF2" i="10"/>
  <c r="AG2" i="10" s="1"/>
  <c r="AD2" i="10"/>
  <c r="AE2" i="10" s="1"/>
  <c r="Z2" i="10"/>
  <c r="AC2" i="10" s="1"/>
  <c r="Y2" i="10"/>
  <c r="AB2" i="10" s="1"/>
  <c r="X2" i="10"/>
  <c r="AA2" i="10" s="1"/>
  <c r="W2" i="10"/>
  <c r="M19" i="7"/>
  <c r="M11" i="7"/>
  <c r="M29" i="7"/>
  <c r="M34" i="7"/>
  <c r="M25" i="7"/>
  <c r="M24" i="7"/>
  <c r="M23" i="7"/>
  <c r="M32" i="7"/>
  <c r="M17" i="7"/>
  <c r="M6" i="7"/>
  <c r="M22" i="7"/>
  <c r="M3" i="7"/>
  <c r="M36" i="7"/>
  <c r="M14" i="7"/>
  <c r="M31" i="7"/>
  <c r="M28" i="7"/>
  <c r="M10" i="7"/>
  <c r="M18" i="7"/>
  <c r="M4" i="7"/>
  <c r="M20" i="7"/>
  <c r="M5" i="7"/>
  <c r="M2" i="7"/>
  <c r="M7" i="7"/>
  <c r="M8" i="7"/>
  <c r="M9" i="7"/>
  <c r="M12" i="7"/>
  <c r="M13" i="7"/>
  <c r="M15" i="7"/>
  <c r="M16" i="7"/>
  <c r="M21" i="7"/>
  <c r="M26" i="7"/>
  <c r="M27" i="7"/>
  <c r="M30" i="7"/>
  <c r="M33" i="7"/>
  <c r="M35" i="7"/>
  <c r="P19" i="7"/>
  <c r="S19" i="7" s="1"/>
  <c r="P11" i="7"/>
  <c r="S11" i="7" s="1"/>
  <c r="P29" i="7"/>
  <c r="S29" i="7" s="1"/>
  <c r="P34" i="7"/>
  <c r="S34" i="7" s="1"/>
  <c r="P25" i="7"/>
  <c r="S25" i="7" s="1"/>
  <c r="P24" i="7"/>
  <c r="S24" i="7" s="1"/>
  <c r="P23" i="7"/>
  <c r="S23" i="7" s="1"/>
  <c r="P32" i="7"/>
  <c r="S32" i="7" s="1"/>
  <c r="P17" i="7"/>
  <c r="S17" i="7" s="1"/>
  <c r="P6" i="7"/>
  <c r="S6" i="7" s="1"/>
  <c r="P22" i="7"/>
  <c r="S22" i="7" s="1"/>
  <c r="P3" i="7"/>
  <c r="S3" i="7" s="1"/>
  <c r="P36" i="7"/>
  <c r="S36" i="7"/>
  <c r="P14" i="7"/>
  <c r="S14" i="7" s="1"/>
  <c r="P31" i="7"/>
  <c r="S31" i="7" s="1"/>
  <c r="P28" i="7"/>
  <c r="S28" i="7" s="1"/>
  <c r="P10" i="7"/>
  <c r="S10" i="7" s="1"/>
  <c r="P18" i="7"/>
  <c r="S18" i="7" s="1"/>
  <c r="P4" i="7"/>
  <c r="S4" i="7" s="1"/>
  <c r="P20" i="7"/>
  <c r="S20" i="7" s="1"/>
  <c r="P5" i="7"/>
  <c r="S5" i="7" s="1"/>
  <c r="P2" i="7"/>
  <c r="S2" i="7" s="1"/>
  <c r="P7" i="7"/>
  <c r="S7" i="7" s="1"/>
  <c r="P8" i="7"/>
  <c r="S8" i="7" s="1"/>
  <c r="P9" i="7"/>
  <c r="S9" i="7" s="1"/>
  <c r="P12" i="7"/>
  <c r="S12" i="7" s="1"/>
  <c r="P13" i="7"/>
  <c r="S13" i="7" s="1"/>
  <c r="P15" i="7"/>
  <c r="S15" i="7" s="1"/>
  <c r="P16" i="7"/>
  <c r="S16" i="7" s="1"/>
  <c r="P21" i="7"/>
  <c r="S21" i="7" s="1"/>
  <c r="P26" i="7"/>
  <c r="S26" i="7" s="1"/>
  <c r="P27" i="7"/>
  <c r="S27" i="7" s="1"/>
  <c r="P30" i="7"/>
  <c r="S30" i="7" s="1"/>
  <c r="P33" i="7"/>
  <c r="S33" i="7" s="1"/>
  <c r="P35" i="7"/>
  <c r="S35" i="7" s="1"/>
  <c r="O19" i="7"/>
  <c r="R19" i="7" s="1"/>
  <c r="O11" i="7"/>
  <c r="R11" i="7" s="1"/>
  <c r="O29" i="7"/>
  <c r="R29" i="7" s="1"/>
  <c r="O34" i="7"/>
  <c r="R34" i="7" s="1"/>
  <c r="O25" i="7"/>
  <c r="R25" i="7" s="1"/>
  <c r="O24" i="7"/>
  <c r="R24" i="7" s="1"/>
  <c r="O23" i="7"/>
  <c r="R23" i="7" s="1"/>
  <c r="O32" i="7"/>
  <c r="R32" i="7" s="1"/>
  <c r="O17" i="7"/>
  <c r="R17" i="7" s="1"/>
  <c r="O6" i="7"/>
  <c r="R6" i="7" s="1"/>
  <c r="O22" i="7"/>
  <c r="R22" i="7" s="1"/>
  <c r="O3" i="7"/>
  <c r="R3" i="7" s="1"/>
  <c r="O36" i="7"/>
  <c r="R36" i="7" s="1"/>
  <c r="O14" i="7"/>
  <c r="R14" i="7" s="1"/>
  <c r="O31" i="7"/>
  <c r="R31" i="7" s="1"/>
  <c r="O28" i="7"/>
  <c r="R28" i="7" s="1"/>
  <c r="O10" i="7"/>
  <c r="R10" i="7" s="1"/>
  <c r="O18" i="7"/>
  <c r="R18" i="7" s="1"/>
  <c r="O4" i="7"/>
  <c r="R4" i="7" s="1"/>
  <c r="O20" i="7"/>
  <c r="R20" i="7" s="1"/>
  <c r="O5" i="7"/>
  <c r="R5" i="7" s="1"/>
  <c r="O2" i="7"/>
  <c r="R2" i="7" s="1"/>
  <c r="O7" i="7"/>
  <c r="R7" i="7" s="1"/>
  <c r="O8" i="7"/>
  <c r="R8" i="7" s="1"/>
  <c r="O9" i="7"/>
  <c r="R9" i="7" s="1"/>
  <c r="O12" i="7"/>
  <c r="R12" i="7" s="1"/>
  <c r="O13" i="7"/>
  <c r="R13" i="7" s="1"/>
  <c r="O15" i="7"/>
  <c r="R15" i="7" s="1"/>
  <c r="O16" i="7"/>
  <c r="R16" i="7" s="1"/>
  <c r="O21" i="7"/>
  <c r="R21" i="7" s="1"/>
  <c r="O26" i="7"/>
  <c r="R26" i="7" s="1"/>
  <c r="O27" i="7"/>
  <c r="R27" i="7" s="1"/>
  <c r="O30" i="7"/>
  <c r="R30" i="7" s="1"/>
  <c r="O33" i="7"/>
  <c r="R33" i="7" s="1"/>
  <c r="O35" i="7"/>
  <c r="R35" i="7" s="1"/>
  <c r="N19" i="7"/>
  <c r="Q19" i="7" s="1"/>
  <c r="N11" i="7"/>
  <c r="Q11" i="7" s="1"/>
  <c r="N29" i="7"/>
  <c r="Q29" i="7" s="1"/>
  <c r="N34" i="7"/>
  <c r="Q34" i="7" s="1"/>
  <c r="N25" i="7"/>
  <c r="Q25" i="7" s="1"/>
  <c r="N24" i="7"/>
  <c r="Q24" i="7" s="1"/>
  <c r="N23" i="7"/>
  <c r="Q23" i="7" s="1"/>
  <c r="N32" i="7"/>
  <c r="Q32" i="7" s="1"/>
  <c r="N17" i="7"/>
  <c r="Q17" i="7" s="1"/>
  <c r="N6" i="7"/>
  <c r="Q6" i="7" s="1"/>
  <c r="N22" i="7"/>
  <c r="Q22" i="7" s="1"/>
  <c r="N3" i="7"/>
  <c r="Q3" i="7" s="1"/>
  <c r="N36" i="7"/>
  <c r="Q36" i="7" s="1"/>
  <c r="N14" i="7"/>
  <c r="Q14" i="7" s="1"/>
  <c r="N31" i="7"/>
  <c r="Q31" i="7" s="1"/>
  <c r="N28" i="7"/>
  <c r="Q28" i="7" s="1"/>
  <c r="N10" i="7"/>
  <c r="Q10" i="7" s="1"/>
  <c r="N18" i="7"/>
  <c r="Q18" i="7" s="1"/>
  <c r="N4" i="7"/>
  <c r="Q4" i="7" s="1"/>
  <c r="N20" i="7"/>
  <c r="Q20" i="7" s="1"/>
  <c r="N5" i="7"/>
  <c r="Q5" i="7" s="1"/>
  <c r="N2" i="7"/>
  <c r="Q2" i="7" s="1"/>
  <c r="N7" i="7"/>
  <c r="Q7" i="7" s="1"/>
  <c r="N8" i="7"/>
  <c r="Q8" i="7" s="1"/>
  <c r="N9" i="7"/>
  <c r="Q9" i="7" s="1"/>
  <c r="N12" i="7"/>
  <c r="Q12" i="7" s="1"/>
  <c r="N13" i="7"/>
  <c r="Q13" i="7" s="1"/>
  <c r="N15" i="7"/>
  <c r="Q15" i="7" s="1"/>
  <c r="N16" i="7"/>
  <c r="Q16" i="7" s="1"/>
  <c r="N21" i="7"/>
  <c r="Q21" i="7" s="1"/>
  <c r="N26" i="7"/>
  <c r="Q26" i="7" s="1"/>
  <c r="N27" i="7"/>
  <c r="Q27" i="7" s="1"/>
  <c r="N30" i="7"/>
  <c r="Q30" i="7" s="1"/>
  <c r="N33" i="7"/>
  <c r="Q33" i="7" s="1"/>
  <c r="N35" i="7"/>
  <c r="Q35" i="7" s="1"/>
  <c r="Z19" i="7"/>
  <c r="AA19" i="7" s="1"/>
  <c r="Z11" i="7"/>
  <c r="AA11" i="7" s="1"/>
  <c r="Z29" i="7"/>
  <c r="AA29" i="7" s="1"/>
  <c r="Z34" i="7"/>
  <c r="AA34" i="7" s="1"/>
  <c r="Z25" i="7"/>
  <c r="AA25" i="7" s="1"/>
  <c r="Z24" i="7"/>
  <c r="AA24" i="7" s="1"/>
  <c r="Z23" i="7"/>
  <c r="AA23" i="7" s="1"/>
  <c r="Z32" i="7"/>
  <c r="AA32" i="7" s="1"/>
  <c r="Z17" i="7"/>
  <c r="AA17" i="7" s="1"/>
  <c r="Z6" i="7"/>
  <c r="AA6" i="7" s="1"/>
  <c r="Z22" i="7"/>
  <c r="AA22" i="7" s="1"/>
  <c r="Z3" i="7"/>
  <c r="AA3" i="7" s="1"/>
  <c r="Z36" i="7"/>
  <c r="AA36" i="7" s="1"/>
  <c r="Z14" i="7"/>
  <c r="AA14" i="7" s="1"/>
  <c r="Z31" i="7"/>
  <c r="AA31" i="7" s="1"/>
  <c r="Z28" i="7"/>
  <c r="AA28" i="7" s="1"/>
  <c r="Z10" i="7"/>
  <c r="AA10" i="7" s="1"/>
  <c r="Z18" i="7"/>
  <c r="AA18" i="7" s="1"/>
  <c r="Z4" i="7"/>
  <c r="AA4" i="7" s="1"/>
  <c r="Z20" i="7"/>
  <c r="AA20" i="7" s="1"/>
  <c r="Z5" i="7"/>
  <c r="AA5" i="7" s="1"/>
  <c r="Z2" i="7"/>
  <c r="AA2" i="7" s="1"/>
  <c r="Z7" i="7"/>
  <c r="AA7" i="7" s="1"/>
  <c r="Z8" i="7"/>
  <c r="AA8" i="7" s="1"/>
  <c r="Z9" i="7"/>
  <c r="AA9" i="7" s="1"/>
  <c r="Z12" i="7"/>
  <c r="AA12" i="7" s="1"/>
  <c r="Z13" i="7"/>
  <c r="AA13" i="7" s="1"/>
  <c r="Z15" i="7"/>
  <c r="AA15" i="7" s="1"/>
  <c r="Z16" i="7"/>
  <c r="AA16" i="7" s="1"/>
  <c r="Z21" i="7"/>
  <c r="AA21" i="7" s="1"/>
  <c r="Z26" i="7"/>
  <c r="AA26" i="7" s="1"/>
  <c r="Z27" i="7"/>
  <c r="AA27" i="7" s="1"/>
  <c r="Z30" i="7"/>
  <c r="AA30" i="7" s="1"/>
  <c r="Z33" i="7"/>
  <c r="AA33" i="7" s="1"/>
  <c r="Z35" i="7"/>
  <c r="AA35" i="7" s="1"/>
  <c r="X19" i="7"/>
  <c r="Y19" i="7" s="1"/>
  <c r="X11" i="7"/>
  <c r="Y11" i="7" s="1"/>
  <c r="X29" i="7"/>
  <c r="Y29" i="7" s="1"/>
  <c r="X34" i="7"/>
  <c r="Y34" i="7" s="1"/>
  <c r="X25" i="7"/>
  <c r="Y25" i="7" s="1"/>
  <c r="X24" i="7"/>
  <c r="Y24" i="7" s="1"/>
  <c r="X23" i="7"/>
  <c r="Y23" i="7" s="1"/>
  <c r="X32" i="7"/>
  <c r="Y32" i="7" s="1"/>
  <c r="X17" i="7"/>
  <c r="Y17" i="7" s="1"/>
  <c r="X6" i="7"/>
  <c r="Y6" i="7" s="1"/>
  <c r="X22" i="7"/>
  <c r="Y22" i="7" s="1"/>
  <c r="X3" i="7"/>
  <c r="Y3" i="7" s="1"/>
  <c r="X36" i="7"/>
  <c r="Y36" i="7" s="1"/>
  <c r="X14" i="7"/>
  <c r="Y14" i="7" s="1"/>
  <c r="X31" i="7"/>
  <c r="Y31" i="7" s="1"/>
  <c r="X28" i="7"/>
  <c r="Y28" i="7" s="1"/>
  <c r="X10" i="7"/>
  <c r="Y10" i="7" s="1"/>
  <c r="X18" i="7"/>
  <c r="Y18" i="7" s="1"/>
  <c r="X4" i="7"/>
  <c r="Y4" i="7" s="1"/>
  <c r="X20" i="7"/>
  <c r="Y20" i="7" s="1"/>
  <c r="X5" i="7"/>
  <c r="Y5" i="7" s="1"/>
  <c r="X2" i="7"/>
  <c r="Y2" i="7" s="1"/>
  <c r="X7" i="7"/>
  <c r="Y7" i="7" s="1"/>
  <c r="X8" i="7"/>
  <c r="Y8" i="7" s="1"/>
  <c r="X9" i="7"/>
  <c r="Y9" i="7" s="1"/>
  <c r="X12" i="7"/>
  <c r="Y12" i="7" s="1"/>
  <c r="X13" i="7"/>
  <c r="Y13" i="7" s="1"/>
  <c r="X15" i="7"/>
  <c r="Y15" i="7" s="1"/>
  <c r="X16" i="7"/>
  <c r="Y16" i="7" s="1"/>
  <c r="X21" i="7"/>
  <c r="Y21" i="7" s="1"/>
  <c r="X26" i="7"/>
  <c r="Y26" i="7" s="1"/>
  <c r="X27" i="7"/>
  <c r="Y27" i="7" s="1"/>
  <c r="X30" i="7"/>
  <c r="Y30" i="7" s="1"/>
  <c r="X33" i="7"/>
  <c r="Y33" i="7" s="1"/>
  <c r="X35" i="7"/>
  <c r="Y35" i="7" s="1"/>
  <c r="V19" i="7"/>
  <c r="W19" i="7" s="1"/>
  <c r="V11" i="7"/>
  <c r="W11" i="7" s="1"/>
  <c r="V29" i="7"/>
  <c r="W29" i="7" s="1"/>
  <c r="V34" i="7"/>
  <c r="W34" i="7" s="1"/>
  <c r="V25" i="7"/>
  <c r="W25" i="7" s="1"/>
  <c r="V24" i="7"/>
  <c r="W24" i="7" s="1"/>
  <c r="V23" i="7"/>
  <c r="W23" i="7" s="1"/>
  <c r="V32" i="7"/>
  <c r="W32" i="7" s="1"/>
  <c r="V17" i="7"/>
  <c r="W17" i="7" s="1"/>
  <c r="V6" i="7"/>
  <c r="W6" i="7" s="1"/>
  <c r="V22" i="7"/>
  <c r="W22" i="7" s="1"/>
  <c r="V3" i="7"/>
  <c r="W3" i="7" s="1"/>
  <c r="V36" i="7"/>
  <c r="W36" i="7" s="1"/>
  <c r="V14" i="7"/>
  <c r="W14" i="7" s="1"/>
  <c r="V31" i="7"/>
  <c r="W31" i="7" s="1"/>
  <c r="V28" i="7"/>
  <c r="W28" i="7" s="1"/>
  <c r="V10" i="7"/>
  <c r="W10" i="7" s="1"/>
  <c r="V18" i="7"/>
  <c r="W18" i="7" s="1"/>
  <c r="V4" i="7"/>
  <c r="W4" i="7" s="1"/>
  <c r="V20" i="7"/>
  <c r="W20" i="7" s="1"/>
  <c r="V5" i="7"/>
  <c r="W5" i="7" s="1"/>
  <c r="V2" i="7"/>
  <c r="W2" i="7" s="1"/>
  <c r="V7" i="7"/>
  <c r="W7" i="7"/>
  <c r="V8" i="7"/>
  <c r="W8" i="7" s="1"/>
  <c r="V9" i="7"/>
  <c r="W9" i="7" s="1"/>
  <c r="V12" i="7"/>
  <c r="W12" i="7" s="1"/>
  <c r="V13" i="7"/>
  <c r="W13" i="7" s="1"/>
  <c r="V15" i="7"/>
  <c r="W15" i="7" s="1"/>
  <c r="V16" i="7"/>
  <c r="W16" i="7" s="1"/>
  <c r="V21" i="7"/>
  <c r="W21" i="7" s="1"/>
  <c r="V26" i="7"/>
  <c r="W26" i="7" s="1"/>
  <c r="V27" i="7"/>
  <c r="W27" i="7" s="1"/>
  <c r="V30" i="7"/>
  <c r="W30" i="7" s="1"/>
  <c r="V33" i="7"/>
  <c r="W33" i="7" s="1"/>
  <c r="V35" i="7"/>
  <c r="W35" i="7" s="1"/>
  <c r="T19" i="7"/>
  <c r="U19" i="7" s="1"/>
  <c r="T11" i="7"/>
  <c r="U11" i="7" s="1"/>
  <c r="T29" i="7"/>
  <c r="U29" i="7" s="1"/>
  <c r="T34" i="7"/>
  <c r="U34" i="7" s="1"/>
  <c r="T25" i="7"/>
  <c r="U25" i="7" s="1"/>
  <c r="T24" i="7"/>
  <c r="U24" i="7" s="1"/>
  <c r="T23" i="7"/>
  <c r="U23" i="7" s="1"/>
  <c r="T32" i="7"/>
  <c r="U32" i="7" s="1"/>
  <c r="T17" i="7"/>
  <c r="U17" i="7" s="1"/>
  <c r="T6" i="7"/>
  <c r="U6" i="7" s="1"/>
  <c r="T22" i="7"/>
  <c r="U22" i="7" s="1"/>
  <c r="T3" i="7"/>
  <c r="U3" i="7" s="1"/>
  <c r="T36" i="7"/>
  <c r="U36" i="7" s="1"/>
  <c r="T14" i="7"/>
  <c r="U14" i="7" s="1"/>
  <c r="T31" i="7"/>
  <c r="U31" i="7" s="1"/>
  <c r="T28" i="7"/>
  <c r="U28" i="7" s="1"/>
  <c r="T10" i="7"/>
  <c r="U10" i="7" s="1"/>
  <c r="T18" i="7"/>
  <c r="U18" i="7" s="1"/>
  <c r="T4" i="7"/>
  <c r="U4" i="7" s="1"/>
  <c r="T20" i="7"/>
  <c r="U20" i="7" s="1"/>
  <c r="T5" i="7"/>
  <c r="U5" i="7" s="1"/>
  <c r="T2" i="7"/>
  <c r="U2" i="7" s="1"/>
  <c r="T7" i="7"/>
  <c r="U7" i="7" s="1"/>
  <c r="T8" i="7"/>
  <c r="U8" i="7" s="1"/>
  <c r="T9" i="7"/>
  <c r="U9" i="7" s="1"/>
  <c r="T12" i="7"/>
  <c r="U12" i="7" s="1"/>
  <c r="T13" i="7"/>
  <c r="U13" i="7" s="1"/>
  <c r="T15" i="7"/>
  <c r="U15" i="7" s="1"/>
  <c r="T16" i="7"/>
  <c r="U16" i="7" s="1"/>
  <c r="T21" i="7"/>
  <c r="U21" i="7" s="1"/>
  <c r="T26" i="7"/>
  <c r="U26" i="7" s="1"/>
  <c r="T27" i="7"/>
  <c r="U27" i="7" s="1"/>
  <c r="T30" i="7"/>
  <c r="U30" i="7" s="1"/>
  <c r="T33" i="7"/>
  <c r="U33" i="7" s="1"/>
  <c r="T35" i="7"/>
  <c r="U35" i="7" s="1"/>
  <c r="P2" i="1"/>
  <c r="J23" i="3"/>
  <c r="J22" i="3"/>
  <c r="J36" i="3"/>
  <c r="J4" i="3"/>
  <c r="J5" i="3"/>
  <c r="J20" i="3"/>
  <c r="J2" i="3"/>
  <c r="J15" i="3"/>
  <c r="J31" i="3"/>
  <c r="J21" i="3"/>
  <c r="J26" i="3"/>
  <c r="J14" i="3"/>
  <c r="J35" i="3"/>
  <c r="J28" i="3"/>
  <c r="J10" i="3"/>
  <c r="J12" i="3"/>
  <c r="J16" i="3"/>
  <c r="J18" i="3"/>
  <c r="J6" i="3"/>
  <c r="J7" i="3"/>
  <c r="J27" i="3"/>
  <c r="J33" i="3"/>
  <c r="J34" i="3"/>
  <c r="J24" i="3"/>
  <c r="J17" i="3"/>
  <c r="J9" i="3"/>
  <c r="J32" i="3"/>
  <c r="J3" i="3"/>
  <c r="J25" i="3"/>
  <c r="J11" i="3"/>
  <c r="I23" i="3"/>
  <c r="I22" i="3"/>
  <c r="I36" i="3"/>
  <c r="I4" i="3"/>
  <c r="I5" i="3"/>
  <c r="I20" i="3"/>
  <c r="I2" i="3"/>
  <c r="I15" i="3"/>
  <c r="I31" i="3"/>
  <c r="I21" i="3"/>
  <c r="I26" i="3"/>
  <c r="I14" i="3"/>
  <c r="I35" i="3"/>
  <c r="I28" i="3"/>
  <c r="I10" i="3"/>
  <c r="I12" i="3"/>
  <c r="I16" i="3"/>
  <c r="I18" i="3"/>
  <c r="I6" i="3"/>
  <c r="I27" i="3"/>
  <c r="I33" i="3"/>
  <c r="I34" i="3"/>
  <c r="I24" i="3"/>
  <c r="I17" i="3"/>
  <c r="I9" i="3"/>
  <c r="I32" i="3"/>
  <c r="I3" i="3"/>
  <c r="I25" i="3"/>
  <c r="I11" i="3"/>
  <c r="AD37" i="6"/>
  <c r="AE37" i="6"/>
  <c r="AB37" i="6"/>
  <c r="AC37" i="6"/>
  <c r="Z37" i="6"/>
  <c r="AA37" i="6"/>
  <c r="X37" i="6"/>
  <c r="Y37" i="6"/>
  <c r="AD36" i="6"/>
  <c r="AE36" i="6"/>
  <c r="AB36" i="6"/>
  <c r="AC36" i="6"/>
  <c r="Z36" i="6"/>
  <c r="AA36" i="6"/>
  <c r="X36" i="6"/>
  <c r="Y36" i="6"/>
  <c r="AD35" i="6"/>
  <c r="AE35" i="6"/>
  <c r="AB35" i="6"/>
  <c r="AC35" i="6"/>
  <c r="Z35" i="6"/>
  <c r="AA35" i="6"/>
  <c r="X35" i="6"/>
  <c r="Y35" i="6"/>
  <c r="AD34" i="6"/>
  <c r="AE34" i="6"/>
  <c r="AB34" i="6"/>
  <c r="AC34" i="6"/>
  <c r="Z34" i="6"/>
  <c r="AA34" i="6"/>
  <c r="X34" i="6"/>
  <c r="Y34" i="6"/>
  <c r="AD33" i="6"/>
  <c r="AE33" i="6"/>
  <c r="AB33" i="6"/>
  <c r="AC33" i="6"/>
  <c r="Z33" i="6"/>
  <c r="AA33" i="6"/>
  <c r="X33" i="6"/>
  <c r="Y33" i="6"/>
  <c r="AD32" i="6"/>
  <c r="AE32" i="6"/>
  <c r="AB32" i="6"/>
  <c r="AC32" i="6"/>
  <c r="Z32" i="6"/>
  <c r="AA32" i="6"/>
  <c r="X32" i="6"/>
  <c r="Y32" i="6"/>
  <c r="AD31" i="6"/>
  <c r="AE31" i="6"/>
  <c r="AB31" i="6"/>
  <c r="AC31" i="6"/>
  <c r="Z31" i="6"/>
  <c r="AA31" i="6"/>
  <c r="X31" i="6"/>
  <c r="Y31" i="6"/>
  <c r="AD30" i="6"/>
  <c r="AE30" i="6"/>
  <c r="AB30" i="6"/>
  <c r="AC30" i="6"/>
  <c r="Z30" i="6"/>
  <c r="AA30" i="6"/>
  <c r="X30" i="6"/>
  <c r="Y30" i="6"/>
  <c r="AD29" i="6"/>
  <c r="AE29" i="6"/>
  <c r="AB29" i="6"/>
  <c r="AC29" i="6"/>
  <c r="Z29" i="6"/>
  <c r="AA29" i="6"/>
  <c r="X29" i="6"/>
  <c r="Y29" i="6"/>
  <c r="AD28" i="6"/>
  <c r="AE28" i="6"/>
  <c r="AB28" i="6"/>
  <c r="AC28" i="6"/>
  <c r="Z28" i="6"/>
  <c r="AA28" i="6"/>
  <c r="X28" i="6"/>
  <c r="Y28" i="6"/>
  <c r="AD27" i="6"/>
  <c r="AE27" i="6"/>
  <c r="AB27" i="6"/>
  <c r="AC27" i="6"/>
  <c r="Z27" i="6"/>
  <c r="AA27" i="6"/>
  <c r="X27" i="6"/>
  <c r="Y27" i="6"/>
  <c r="AD26" i="6"/>
  <c r="AE26" i="6"/>
  <c r="AB26" i="6"/>
  <c r="AC26" i="6"/>
  <c r="Z26" i="6"/>
  <c r="AA26" i="6"/>
  <c r="X26" i="6"/>
  <c r="Y26" i="6"/>
  <c r="AD25" i="6"/>
  <c r="AE25" i="6"/>
  <c r="AB25" i="6"/>
  <c r="AC25" i="6"/>
  <c r="Z25" i="6"/>
  <c r="AA25" i="6"/>
  <c r="X25" i="6"/>
  <c r="Y25" i="6"/>
  <c r="AD24" i="6"/>
  <c r="AE24" i="6"/>
  <c r="AB24" i="6"/>
  <c r="AC24" i="6"/>
  <c r="Z24" i="6"/>
  <c r="AA24" i="6"/>
  <c r="X24" i="6"/>
  <c r="Y24" i="6"/>
  <c r="AD23" i="6"/>
  <c r="AE23" i="6"/>
  <c r="AB23" i="6"/>
  <c r="AC23" i="6"/>
  <c r="Z23" i="6"/>
  <c r="AA23" i="6"/>
  <c r="X23" i="6"/>
  <c r="Y23" i="6"/>
  <c r="AD22" i="6"/>
  <c r="AE22" i="6"/>
  <c r="AB22" i="6"/>
  <c r="AC22" i="6"/>
  <c r="Z22" i="6"/>
  <c r="AA22" i="6"/>
  <c r="X22" i="6"/>
  <c r="Y22" i="6"/>
  <c r="AD21" i="6"/>
  <c r="AE21" i="6"/>
  <c r="AB21" i="6"/>
  <c r="AC21" i="6"/>
  <c r="Z21" i="6"/>
  <c r="AA21" i="6"/>
  <c r="X21" i="6"/>
  <c r="Y21" i="6"/>
  <c r="AD20" i="6"/>
  <c r="AE20" i="6"/>
  <c r="AB20" i="6"/>
  <c r="AC20" i="6"/>
  <c r="Z20" i="6"/>
  <c r="AA20" i="6"/>
  <c r="X20" i="6"/>
  <c r="Y20" i="6"/>
  <c r="AD19" i="6"/>
  <c r="AE19" i="6"/>
  <c r="AB19" i="6"/>
  <c r="AC19" i="6"/>
  <c r="Z19" i="6"/>
  <c r="AA19" i="6"/>
  <c r="X19" i="6"/>
  <c r="Y19" i="6"/>
  <c r="AD18" i="6"/>
  <c r="AE18" i="6"/>
  <c r="AB18" i="6"/>
  <c r="AC18" i="6"/>
  <c r="Z18" i="6"/>
  <c r="AA18" i="6"/>
  <c r="X18" i="6"/>
  <c r="Y18" i="6"/>
  <c r="AD17" i="6"/>
  <c r="AE17" i="6"/>
  <c r="AB17" i="6"/>
  <c r="AC17" i="6"/>
  <c r="Z17" i="6"/>
  <c r="AA17" i="6"/>
  <c r="X17" i="6"/>
  <c r="Y17" i="6"/>
  <c r="AD16" i="6"/>
  <c r="AE16" i="6"/>
  <c r="AB16" i="6"/>
  <c r="AC16" i="6"/>
  <c r="Z16" i="6"/>
  <c r="AA16" i="6"/>
  <c r="X16" i="6"/>
  <c r="Y16" i="6"/>
  <c r="AD15" i="6"/>
  <c r="AE15" i="6"/>
  <c r="AB15" i="6"/>
  <c r="AC15" i="6"/>
  <c r="Z15" i="6"/>
  <c r="AA15" i="6"/>
  <c r="X15" i="6"/>
  <c r="Y15" i="6"/>
  <c r="AD14" i="6"/>
  <c r="AE14" i="6"/>
  <c r="AB14" i="6"/>
  <c r="AC14" i="6"/>
  <c r="Z14" i="6"/>
  <c r="AA14" i="6"/>
  <c r="X14" i="6"/>
  <c r="Y14" i="6"/>
  <c r="AD13" i="6"/>
  <c r="AE13" i="6"/>
  <c r="AB13" i="6"/>
  <c r="AC13" i="6"/>
  <c r="Z13" i="6"/>
  <c r="AA13" i="6"/>
  <c r="X13" i="6"/>
  <c r="Y13" i="6"/>
  <c r="AD12" i="6"/>
  <c r="AE12" i="6"/>
  <c r="AB12" i="6"/>
  <c r="AC12" i="6"/>
  <c r="Z12" i="6"/>
  <c r="AA12" i="6"/>
  <c r="X12" i="6"/>
  <c r="Y12" i="6"/>
  <c r="AD11" i="6"/>
  <c r="AE11" i="6"/>
  <c r="AB11" i="6"/>
  <c r="AC11" i="6"/>
  <c r="Z11" i="6"/>
  <c r="AA11" i="6"/>
  <c r="X11" i="6"/>
  <c r="Y11" i="6"/>
  <c r="AD10" i="6"/>
  <c r="AE10" i="6"/>
  <c r="AB10" i="6"/>
  <c r="AC10" i="6"/>
  <c r="Z10" i="6"/>
  <c r="AA10" i="6"/>
  <c r="X10" i="6"/>
  <c r="Y10" i="6"/>
  <c r="AD9" i="6"/>
  <c r="AE9" i="6"/>
  <c r="AB9" i="6"/>
  <c r="AC9" i="6"/>
  <c r="Z9" i="6"/>
  <c r="AA9" i="6"/>
  <c r="X9" i="6"/>
  <c r="Y9" i="6"/>
  <c r="AD8" i="6"/>
  <c r="AE8" i="6"/>
  <c r="AB8" i="6"/>
  <c r="AC8" i="6"/>
  <c r="Z8" i="6"/>
  <c r="AA8" i="6"/>
  <c r="X8" i="6"/>
  <c r="Y8" i="6"/>
  <c r="AD7" i="6"/>
  <c r="AE7" i="6"/>
  <c r="AB7" i="6"/>
  <c r="AC7" i="6"/>
  <c r="Z7" i="6"/>
  <c r="AA7" i="6"/>
  <c r="X7" i="6"/>
  <c r="Y7" i="6"/>
  <c r="AD6" i="6"/>
  <c r="AE6" i="6"/>
  <c r="AB6" i="6"/>
  <c r="AC6" i="6"/>
  <c r="Z6" i="6"/>
  <c r="AA6" i="6"/>
  <c r="X6" i="6"/>
  <c r="Y6" i="6"/>
  <c r="AD5" i="6"/>
  <c r="AE5" i="6"/>
  <c r="AB5" i="6"/>
  <c r="AC5" i="6"/>
  <c r="Z5" i="6"/>
  <c r="AA5" i="6"/>
  <c r="X5" i="6"/>
  <c r="Y5" i="6"/>
  <c r="AD4" i="6"/>
  <c r="AE4" i="6"/>
  <c r="AB4" i="6"/>
  <c r="AC4" i="6"/>
  <c r="Z4" i="6"/>
  <c r="AA4" i="6"/>
  <c r="X4" i="6"/>
  <c r="Y4" i="6"/>
  <c r="AD3" i="6"/>
  <c r="AE3" i="6"/>
  <c r="AB3" i="6"/>
  <c r="AC3" i="6"/>
  <c r="Z3" i="6"/>
  <c r="AA3" i="6"/>
  <c r="X3" i="6"/>
  <c r="Y3" i="6"/>
  <c r="AD2" i="6"/>
  <c r="AE2" i="6"/>
  <c r="AB2" i="6"/>
  <c r="AC2" i="6"/>
  <c r="Z2" i="6"/>
  <c r="AA2" i="6"/>
  <c r="X2" i="6"/>
  <c r="Y2" i="6"/>
  <c r="P14" i="1"/>
  <c r="Q14" i="1"/>
  <c r="R14" i="1"/>
  <c r="S14" i="1"/>
  <c r="T14" i="1"/>
  <c r="U14" i="1"/>
  <c r="V14" i="1"/>
  <c r="W14" i="1"/>
  <c r="V31" i="1"/>
  <c r="W31" i="1"/>
  <c r="T31" i="1"/>
  <c r="U31" i="1"/>
  <c r="R31" i="1"/>
  <c r="S31" i="1"/>
  <c r="P31" i="1"/>
  <c r="Q31" i="1"/>
  <c r="V3" i="1"/>
  <c r="W3" i="1"/>
  <c r="V4" i="1"/>
  <c r="W4" i="1"/>
  <c r="V5" i="1"/>
  <c r="W5" i="1"/>
  <c r="V6" i="1"/>
  <c r="W6" i="1"/>
  <c r="V7" i="1"/>
  <c r="W7" i="1"/>
  <c r="V8" i="1"/>
  <c r="W8" i="1"/>
  <c r="V9" i="1"/>
  <c r="W9" i="1"/>
  <c r="V10" i="1"/>
  <c r="W10" i="1"/>
  <c r="V11" i="1"/>
  <c r="W11" i="1"/>
  <c r="V12" i="1"/>
  <c r="W12" i="1"/>
  <c r="V13" i="1"/>
  <c r="W13" i="1"/>
  <c r="V15" i="1"/>
  <c r="W15" i="1"/>
  <c r="V16" i="1"/>
  <c r="W16" i="1"/>
  <c r="V17" i="1"/>
  <c r="W17" i="1"/>
  <c r="V18" i="1"/>
  <c r="W18" i="1"/>
  <c r="V19" i="1"/>
  <c r="W19" i="1"/>
  <c r="V20" i="1"/>
  <c r="W20" i="1"/>
  <c r="V21" i="1"/>
  <c r="W21" i="1"/>
  <c r="V22" i="1"/>
  <c r="W22" i="1"/>
  <c r="V23" i="1"/>
  <c r="W23" i="1"/>
  <c r="V24" i="1"/>
  <c r="W24" i="1"/>
  <c r="V25" i="1"/>
  <c r="W25" i="1"/>
  <c r="V26" i="1"/>
  <c r="W26" i="1"/>
  <c r="V27" i="1"/>
  <c r="W27" i="1"/>
  <c r="V28" i="1"/>
  <c r="W28" i="1"/>
  <c r="V29" i="1"/>
  <c r="W29" i="1"/>
  <c r="V30" i="1"/>
  <c r="W30" i="1"/>
  <c r="V32" i="1"/>
  <c r="W32" i="1"/>
  <c r="V33" i="1"/>
  <c r="W33" i="1"/>
  <c r="V34" i="1"/>
  <c r="W34" i="1"/>
  <c r="V35" i="1"/>
  <c r="W35" i="1"/>
  <c r="V36" i="1"/>
  <c r="W36" i="1"/>
  <c r="V37" i="1"/>
  <c r="W37" i="1"/>
  <c r="T3" i="1"/>
  <c r="U3" i="1"/>
  <c r="T4" i="1"/>
  <c r="U4" i="1"/>
  <c r="T5" i="1"/>
  <c r="U5" i="1"/>
  <c r="T6" i="1"/>
  <c r="U6" i="1"/>
  <c r="T7" i="1"/>
  <c r="U7" i="1"/>
  <c r="T8" i="1"/>
  <c r="U8" i="1"/>
  <c r="T9" i="1"/>
  <c r="U9" i="1"/>
  <c r="T10" i="1"/>
  <c r="U10" i="1"/>
  <c r="T11" i="1"/>
  <c r="U11" i="1"/>
  <c r="T12" i="1"/>
  <c r="U12" i="1"/>
  <c r="T13" i="1"/>
  <c r="U13" i="1"/>
  <c r="T15" i="1"/>
  <c r="U15" i="1"/>
  <c r="T16" i="1"/>
  <c r="U16" i="1"/>
  <c r="T17" i="1"/>
  <c r="U17" i="1"/>
  <c r="T18" i="1"/>
  <c r="U18" i="1"/>
  <c r="T19" i="1"/>
  <c r="U19" i="1"/>
  <c r="T20" i="1"/>
  <c r="U20" i="1"/>
  <c r="T21" i="1"/>
  <c r="U21" i="1"/>
  <c r="T22" i="1"/>
  <c r="U22" i="1"/>
  <c r="T23" i="1"/>
  <c r="U23" i="1"/>
  <c r="T24" i="1"/>
  <c r="U24" i="1"/>
  <c r="T25" i="1"/>
  <c r="U25" i="1"/>
  <c r="T26" i="1"/>
  <c r="U26" i="1"/>
  <c r="T27" i="1"/>
  <c r="U27" i="1"/>
  <c r="T28" i="1"/>
  <c r="U28" i="1"/>
  <c r="T29" i="1"/>
  <c r="U29" i="1"/>
  <c r="T30" i="1"/>
  <c r="U30" i="1"/>
  <c r="T32" i="1"/>
  <c r="U32" i="1"/>
  <c r="T33" i="1"/>
  <c r="U33" i="1"/>
  <c r="T34" i="1"/>
  <c r="U34" i="1"/>
  <c r="T35" i="1"/>
  <c r="U35" i="1"/>
  <c r="T36" i="1"/>
  <c r="U36" i="1"/>
  <c r="T37" i="1"/>
  <c r="U37" i="1"/>
  <c r="V2" i="1"/>
  <c r="W2" i="1"/>
  <c r="T2" i="1"/>
  <c r="U2" i="1"/>
  <c r="R3" i="1"/>
  <c r="S3" i="1"/>
  <c r="R4" i="1"/>
  <c r="S4" i="1"/>
  <c r="R5" i="1"/>
  <c r="S5" i="1"/>
  <c r="R6" i="1"/>
  <c r="S6" i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5" i="1"/>
  <c r="S15" i="1"/>
  <c r="R16" i="1"/>
  <c r="S16" i="1"/>
  <c r="R17" i="1"/>
  <c r="S17" i="1"/>
  <c r="R18" i="1"/>
  <c r="S18" i="1"/>
  <c r="R19" i="1"/>
  <c r="S19" i="1"/>
  <c r="R20" i="1"/>
  <c r="S20" i="1"/>
  <c r="R21" i="1"/>
  <c r="S21" i="1"/>
  <c r="R22" i="1"/>
  <c r="S22" i="1"/>
  <c r="R23" i="1"/>
  <c r="S23" i="1"/>
  <c r="R24" i="1"/>
  <c r="S24" i="1"/>
  <c r="R25" i="1"/>
  <c r="S25" i="1"/>
  <c r="R26" i="1"/>
  <c r="S26" i="1"/>
  <c r="R27" i="1"/>
  <c r="S27" i="1"/>
  <c r="R28" i="1"/>
  <c r="S28" i="1"/>
  <c r="R29" i="1"/>
  <c r="S29" i="1"/>
  <c r="R30" i="1"/>
  <c r="S30" i="1"/>
  <c r="R32" i="1"/>
  <c r="S32" i="1"/>
  <c r="R33" i="1"/>
  <c r="S33" i="1"/>
  <c r="R34" i="1"/>
  <c r="S34" i="1"/>
  <c r="R35" i="1"/>
  <c r="S35" i="1"/>
  <c r="R36" i="1"/>
  <c r="S36" i="1"/>
  <c r="R37" i="1"/>
  <c r="S37" i="1"/>
  <c r="R2" i="1"/>
  <c r="S2" i="1"/>
  <c r="P3" i="1"/>
  <c r="Q3" i="1"/>
  <c r="P4" i="1"/>
  <c r="Q4" i="1"/>
  <c r="P5" i="1"/>
  <c r="Q5" i="1"/>
  <c r="P6" i="1"/>
  <c r="Q6" i="1"/>
  <c r="P7" i="1"/>
  <c r="Q7" i="1"/>
  <c r="P8" i="1"/>
  <c r="Q8" i="1"/>
  <c r="P9" i="1"/>
  <c r="Q9" i="1"/>
  <c r="P10" i="1"/>
  <c r="Q10" i="1"/>
  <c r="P11" i="1"/>
  <c r="Q11" i="1"/>
  <c r="P12" i="1"/>
  <c r="Q12" i="1"/>
  <c r="P13" i="1"/>
  <c r="Q13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2" i="1"/>
  <c r="Q32" i="1"/>
  <c r="P33" i="1"/>
  <c r="Q33" i="1"/>
  <c r="P34" i="1"/>
  <c r="Q34" i="1"/>
  <c r="P35" i="1"/>
  <c r="Q35" i="1"/>
  <c r="P36" i="1"/>
  <c r="Q36" i="1"/>
  <c r="P37" i="1"/>
  <c r="Q37" i="1"/>
  <c r="Q2" i="1"/>
  <c r="S36" i="2"/>
  <c r="S37" i="2"/>
  <c r="S38" i="2"/>
  <c r="S39" i="2"/>
  <c r="S26" i="2"/>
  <c r="S27" i="2"/>
  <c r="S28" i="2"/>
  <c r="S29" i="2"/>
  <c r="S30" i="2"/>
  <c r="S31" i="2"/>
  <c r="S32" i="2"/>
  <c r="S33" i="2"/>
  <c r="S34" i="2"/>
  <c r="S35" i="2"/>
  <c r="S15" i="2"/>
  <c r="S16" i="2"/>
  <c r="S17" i="2"/>
  <c r="S18" i="2"/>
  <c r="S19" i="2"/>
  <c r="S20" i="2"/>
  <c r="S21" i="2"/>
  <c r="S22" i="2"/>
  <c r="S23" i="2"/>
  <c r="S24" i="2"/>
  <c r="S25" i="2"/>
  <c r="S12" i="2"/>
  <c r="S13" i="2"/>
  <c r="S14" i="2"/>
  <c r="S5" i="2"/>
  <c r="S6" i="2"/>
  <c r="S7" i="2"/>
  <c r="S8" i="2"/>
  <c r="S9" i="2"/>
  <c r="S10" i="2"/>
  <c r="S11" i="2"/>
  <c r="S4" i="2"/>
  <c r="AJ38" i="1"/>
</calcChain>
</file>

<file path=xl/sharedStrings.xml><?xml version="1.0" encoding="utf-8"?>
<sst xmlns="http://schemas.openxmlformats.org/spreadsheetml/2006/main" count="1131" uniqueCount="367">
  <si>
    <t xml:space="preserve">Nom </t>
  </si>
  <si>
    <t xml:space="preserve">Poste </t>
  </si>
  <si>
    <t>Dates (Mois)</t>
  </si>
  <si>
    <t>Taille (cm)</t>
  </si>
  <si>
    <t>Poids (kg)</t>
  </si>
  <si>
    <t>30-15 IFT</t>
  </si>
  <si>
    <t>1RM DC</t>
  </si>
  <si>
    <t>1RM TIRAGE</t>
  </si>
  <si>
    <t>1RM SDT</t>
  </si>
  <si>
    <t xml:space="preserve">0m </t>
  </si>
  <si>
    <t>10m (s)</t>
  </si>
  <si>
    <t>20m (s)</t>
  </si>
  <si>
    <t>25m (s)</t>
  </si>
  <si>
    <t>50m (s)</t>
  </si>
  <si>
    <t>m.s 10m</t>
  </si>
  <si>
    <t>KM/H 10m</t>
  </si>
  <si>
    <t>m.s 20m</t>
  </si>
  <si>
    <t>KM/H 20m</t>
  </si>
  <si>
    <t>m.s 25m</t>
  </si>
  <si>
    <t>KM/H 25m</t>
  </si>
  <si>
    <t>m.s 50m</t>
  </si>
  <si>
    <t>KM/H 50m</t>
  </si>
  <si>
    <t>BroadJump (cm)</t>
  </si>
  <si>
    <t>Clara</t>
  </si>
  <si>
    <t xml:space="preserve">Septembre </t>
  </si>
  <si>
    <t>Maëna</t>
  </si>
  <si>
    <t xml:space="preserve">Kélia </t>
  </si>
  <si>
    <t>Louane D</t>
  </si>
  <si>
    <t xml:space="preserve">Augustine </t>
  </si>
  <si>
    <t xml:space="preserve">3e Ligne </t>
  </si>
  <si>
    <t>Méloée</t>
  </si>
  <si>
    <t>Demi-Ouverture</t>
  </si>
  <si>
    <t>Margaux</t>
  </si>
  <si>
    <t>Morgane</t>
  </si>
  <si>
    <t>Calliopée</t>
  </si>
  <si>
    <t>Amaia</t>
  </si>
  <si>
    <t xml:space="preserve">Demi-melée </t>
  </si>
  <si>
    <t>Candice</t>
  </si>
  <si>
    <t>Louanne Dom</t>
  </si>
  <si>
    <t>Maylis</t>
  </si>
  <si>
    <t xml:space="preserve">Romane </t>
  </si>
  <si>
    <t>Lily B</t>
  </si>
  <si>
    <t>Septembre</t>
  </si>
  <si>
    <t>Emilie</t>
  </si>
  <si>
    <t>Andréa</t>
  </si>
  <si>
    <t xml:space="preserve">1re Ligne </t>
  </si>
  <si>
    <t>Loréana</t>
  </si>
  <si>
    <t>Lily N</t>
  </si>
  <si>
    <t>Danaé</t>
  </si>
  <si>
    <t xml:space="preserve">2e Ligne </t>
  </si>
  <si>
    <t>Ines R</t>
  </si>
  <si>
    <t xml:space="preserve">Malaury </t>
  </si>
  <si>
    <t>Ciara</t>
  </si>
  <si>
    <t>Lylou</t>
  </si>
  <si>
    <t>Zoé</t>
  </si>
  <si>
    <t>Kira</t>
  </si>
  <si>
    <t>Alina</t>
  </si>
  <si>
    <t xml:space="preserve">Jade </t>
  </si>
  <si>
    <t>Faustine</t>
  </si>
  <si>
    <t xml:space="preserve">Annaelle </t>
  </si>
  <si>
    <t>Ines</t>
  </si>
  <si>
    <t>Camille</t>
  </si>
  <si>
    <t>Charlotte</t>
  </si>
  <si>
    <t>Elyna</t>
  </si>
  <si>
    <t>Mathilde</t>
  </si>
  <si>
    <t>Shayna</t>
  </si>
  <si>
    <t>Nom</t>
  </si>
  <si>
    <t>TEST</t>
  </si>
  <si>
    <t>PECTORAUX</t>
  </si>
  <si>
    <t xml:space="preserve">EPAULES </t>
  </si>
  <si>
    <t xml:space="preserve">ABDOMINAUX </t>
  </si>
  <si>
    <t>QUADRI/ISCHIOS</t>
  </si>
  <si>
    <t>FESSIERS</t>
  </si>
  <si>
    <r>
      <rPr>
        <b/>
        <sz val="11"/>
        <color theme="1"/>
        <rFont val="Aptos Narrow"/>
        <family val="2"/>
        <scheme val="minor"/>
      </rPr>
      <t>DORSAUX</t>
    </r>
    <r>
      <rPr>
        <sz val="11"/>
        <color theme="1"/>
        <rFont val="Aptos Narrow"/>
        <family val="2"/>
        <scheme val="minor"/>
      </rPr>
      <t xml:space="preserve"> </t>
    </r>
  </si>
  <si>
    <t>HALTERO</t>
  </si>
  <si>
    <t>Annaelle</t>
  </si>
  <si>
    <t>Développé assis à la machine convergente</t>
  </si>
  <si>
    <t>Élévation latérale à la poulie</t>
  </si>
  <si>
    <t>Crunch avec l’Abmat</t>
  </si>
  <si>
    <t>Hack squat à la machine</t>
  </si>
  <si>
    <t>Soulevé de terre</t>
  </si>
  <si>
    <t>Traction prise large devant</t>
  </si>
  <si>
    <t>Jour</t>
  </si>
  <si>
    <t>Semaine</t>
  </si>
  <si>
    <t>Thruster</t>
  </si>
  <si>
    <t>Arame</t>
  </si>
  <si>
    <t>Développé couché</t>
  </si>
  <si>
    <t>Développé avec haltères</t>
  </si>
  <si>
    <t>Crunch à la poulie haute</t>
  </si>
  <si>
    <t>Presse à cuisses allongé</t>
  </si>
  <si>
    <t>Soulevé de terre sumo</t>
  </si>
  <si>
    <t>Traction prise large nuque</t>
  </si>
  <si>
    <t>S42</t>
  </si>
  <si>
    <t>Développé couché avec haltères</t>
  </si>
  <si>
    <t>Développé épaules à la machine convergente</t>
  </si>
  <si>
    <t>Enroulement de bassin avec l’Abmat</t>
  </si>
  <si>
    <t>Presse à cuisses assis</t>
  </si>
  <si>
    <t>Extension inversé</t>
  </si>
  <si>
    <t>Traction prise neutre</t>
  </si>
  <si>
    <t>S43</t>
  </si>
  <si>
    <t>1RM SQUAT</t>
  </si>
  <si>
    <t>Développé couché à la machine convergente</t>
  </si>
  <si>
    <t>Développé militaire</t>
  </si>
  <si>
    <t>Enroulement de bassin suspendu à la barre fixe</t>
  </si>
  <si>
    <t>Presse à cuisses incliné</t>
  </si>
  <si>
    <t>Fente à la Smith machine</t>
  </si>
  <si>
    <t>Traction prise serrée en pronation</t>
  </si>
  <si>
    <t>S44</t>
  </si>
  <si>
    <t xml:space="preserve">1RM TIRAGE </t>
  </si>
  <si>
    <t>Développé décliné</t>
  </si>
  <si>
    <t>Développé nuque</t>
  </si>
  <si>
    <t>Obliques sur banc à lombaires</t>
  </si>
  <si>
    <t>Squat avant</t>
  </si>
  <si>
    <t>Fente glissée</t>
  </si>
  <si>
    <t>Traction prise supination cambré</t>
  </si>
  <si>
    <t>S45</t>
  </si>
  <si>
    <t>Elly</t>
  </si>
  <si>
    <t>Développé décliné avec haltères</t>
  </si>
  <si>
    <t>Oiseau / Rowing avec haltères</t>
  </si>
  <si>
    <t>Crunch</t>
  </si>
  <si>
    <t>Squat sumo</t>
  </si>
  <si>
    <t>Abducteurs allongé</t>
  </si>
  <si>
    <t>Pull over assis à la machine</t>
  </si>
  <si>
    <t>S46</t>
  </si>
  <si>
    <t xml:space="preserve">Elyna </t>
  </si>
  <si>
    <t>20m (S)</t>
  </si>
  <si>
    <t>Développé incliné</t>
  </si>
  <si>
    <t>Oiseau à la poulie basse</t>
  </si>
  <si>
    <t>Crunch à la machine</t>
  </si>
  <si>
    <t>Squat [arrière</t>
  </si>
  <si>
    <t>Abducteurs assis</t>
  </si>
  <si>
    <t>Traction à la machine convergente</t>
  </si>
  <si>
    <t>S47</t>
  </si>
  <si>
    <t>Développé incliné avec haltères</t>
  </si>
  <si>
    <t>Rowing assis à la machine coudes ouverts</t>
  </si>
  <si>
    <t>Crunch oblique</t>
  </si>
  <si>
    <t>Fente avec pied sur banc</t>
  </si>
  <si>
    <t>Abducteurs à la machine</t>
  </si>
  <si>
    <t>Traction à la poulie haute à un bras</t>
  </si>
  <si>
    <t>S48</t>
  </si>
  <si>
    <t xml:space="preserve">Eugenie </t>
  </si>
  <si>
    <t>Poids</t>
  </si>
  <si>
    <t>Développé incliné à la machine convergente</t>
  </si>
  <si>
    <t>Rowing assis à la poulie basse coudes ouverts</t>
  </si>
  <si>
    <t>Crunch sur la Swiss Ball</t>
  </si>
  <si>
    <t>Fente latérale</t>
  </si>
  <si>
    <t>Abducteurs à la poulie</t>
  </si>
  <si>
    <t>Traction à la poulie haute devant</t>
  </si>
  <si>
    <t>S49</t>
  </si>
  <si>
    <t>Houria</t>
  </si>
  <si>
    <t>Dips prise large buste penché</t>
  </si>
  <si>
    <t>Rowing à la poulie basse sur banc incliné coudes ouverts</t>
  </si>
  <si>
    <t>Enroulement de bassin</t>
  </si>
  <si>
    <t>Hack squat avec une barre</t>
  </si>
  <si>
    <t>Extension de la hanche à la machine</t>
  </si>
  <si>
    <t>Traction à la poulie haute nuque</t>
  </si>
  <si>
    <t>S50</t>
  </si>
  <si>
    <t>GroupeMusculaire</t>
  </si>
  <si>
    <t>Pull over</t>
  </si>
  <si>
    <t>Rowing à la poulie haute sur banc incliné coudes ouverts</t>
  </si>
  <si>
    <t>Obliques avec l’Abmat</t>
  </si>
  <si>
    <t>Montée sur banc</t>
  </si>
  <si>
    <t>Fente à la barre</t>
  </si>
  <si>
    <t>Traction à la poulie haute prise neutre</t>
  </si>
  <si>
    <t>S51</t>
  </si>
  <si>
    <t xml:space="preserve">Kira </t>
  </si>
  <si>
    <t>Pull over en travers d’un banc</t>
  </si>
  <si>
    <t>Rowing à la T-bar coudes ouverts</t>
  </si>
  <si>
    <t>Obliques sur la Swiss Ball</t>
  </si>
  <si>
    <t>Squat avec la ceinture de lest</t>
  </si>
  <si>
    <t>Fente en marchant à la barre</t>
  </si>
  <si>
    <t>Traction à la poulie haute prise serrée en pronation</t>
  </si>
  <si>
    <t>S52</t>
  </si>
  <si>
    <t xml:space="preserve">Lily </t>
  </si>
  <si>
    <t>EPAULES</t>
  </si>
  <si>
    <t>Écarté à la machine</t>
  </si>
  <si>
    <t>Rowing barre coudes ouverts</t>
  </si>
  <si>
    <t>Obliques suspendu à la barre fixe</t>
  </si>
  <si>
    <t>Squat à la machine</t>
  </si>
  <si>
    <t>Fente en reculant à la barre</t>
  </si>
  <si>
    <t>Traction à la poulie haute prise supination</t>
  </si>
  <si>
    <t>S53</t>
  </si>
  <si>
    <t>ABDOMINAUX</t>
  </si>
  <si>
    <t>Écarté couché</t>
  </si>
  <si>
    <t>Rowing debout à la poulie basse</t>
  </si>
  <si>
    <t>Rotation à la machine</t>
  </si>
  <si>
    <t>Squat à la machine à mollets</t>
  </si>
  <si>
    <t>Pull over debout à la poulie haute</t>
  </si>
  <si>
    <t>S1</t>
  </si>
  <si>
    <t xml:space="preserve">Lou Anne </t>
  </si>
  <si>
    <t>Écarté décliné</t>
  </si>
  <si>
    <t>Rowing debout prise large</t>
  </si>
  <si>
    <t>Vacuum</t>
  </si>
  <si>
    <t>Squat à la Smith machine</t>
  </si>
  <si>
    <t>Traction à la machine</t>
  </si>
  <si>
    <t>S2</t>
  </si>
  <si>
    <t xml:space="preserve">Louane </t>
  </si>
  <si>
    <t>Écarté incliné</t>
  </si>
  <si>
    <t>Élévation latérale avec haltères</t>
  </si>
  <si>
    <t>Crunch avec rotation</t>
  </si>
  <si>
    <t>Squat à une jambe</t>
  </si>
  <si>
    <t>S3</t>
  </si>
  <si>
    <t>Malaury</t>
  </si>
  <si>
    <t>DORSAUX</t>
  </si>
  <si>
    <t>Pompes prise large</t>
  </si>
  <si>
    <t>Élévation latérale à un bras penché sur le côté</t>
  </si>
  <si>
    <t>Drapeau du dragon</t>
  </si>
  <si>
    <t>Squat Gobelet avec haltère</t>
  </si>
  <si>
    <t>S4</t>
  </si>
  <si>
    <t xml:space="preserve">Méloée </t>
  </si>
  <si>
    <t>Pull over à la poulie basse</t>
  </si>
  <si>
    <t>Élévation latérale à un bras sur banc incliné</t>
  </si>
  <si>
    <t>Flexion latérale avec haltère</t>
  </si>
  <si>
    <t>Adducteurs assis</t>
  </si>
  <si>
    <t>S5</t>
  </si>
  <si>
    <t>Mily</t>
  </si>
  <si>
    <t>Écarté à la poulie vis à vis basse</t>
  </si>
  <si>
    <t>Développé Arnold</t>
  </si>
  <si>
    <t>Gainage abdominal</t>
  </si>
  <si>
    <t>Adducteurs à la machine</t>
  </si>
  <si>
    <t>S6</t>
  </si>
  <si>
    <t xml:space="preserve">Nina </t>
  </si>
  <si>
    <t>Écarté à la poulie vis à vis haute</t>
  </si>
  <si>
    <t>Développé à l’envers</t>
  </si>
  <si>
    <t>Gainage oblique</t>
  </si>
  <si>
    <t>Adducteurs à la poulie</t>
  </si>
  <si>
    <t>S7</t>
  </si>
  <si>
    <t>Romabe</t>
  </si>
  <si>
    <t>Développé couché à la machine</t>
  </si>
  <si>
    <t>Développé épaules à la machine</t>
  </si>
  <si>
    <t>Rotation debout</t>
  </si>
  <si>
    <t>Flexion de la hanche à une jambe à la machine</t>
  </si>
  <si>
    <t>S8</t>
  </si>
  <si>
    <t>Roxane</t>
  </si>
  <si>
    <t>Oiseau avec haltères</t>
  </si>
  <si>
    <t>Leg extension allongé</t>
  </si>
  <si>
    <t>S9</t>
  </si>
  <si>
    <t>Safia</t>
  </si>
  <si>
    <t>Oiseau à la machine</t>
  </si>
  <si>
    <t>Soulevé de terre jambes tendues</t>
  </si>
  <si>
    <t>Leg extension assis</t>
  </si>
  <si>
    <t>S11</t>
  </si>
  <si>
    <t>Oiseau à la poulie haute</t>
  </si>
  <si>
    <t>Relevé de buste</t>
  </si>
  <si>
    <t>S12</t>
  </si>
  <si>
    <t xml:space="preserve">Thaline </t>
  </si>
  <si>
    <t>Oiseau à un bras allongé</t>
  </si>
  <si>
    <t>Enroulement / Déroulement au banc à lombaire</t>
  </si>
  <si>
    <t>Relevé de genoux allongé</t>
  </si>
  <si>
    <t>S13</t>
  </si>
  <si>
    <t>Oiseau sur banc incliné</t>
  </si>
  <si>
    <t>Good Morning</t>
  </si>
  <si>
    <t>Relevé de genoux sur banc</t>
  </si>
  <si>
    <t>S14</t>
  </si>
  <si>
    <t>Élévation frontale avec haltères</t>
  </si>
  <si>
    <t>Soulevé de terre jambes tendues à la poulie</t>
  </si>
  <si>
    <t>Relevé de genoux suspendu</t>
  </si>
  <si>
    <t>S15</t>
  </si>
  <si>
    <t>Élévation frontale avec une barre</t>
  </si>
  <si>
    <t>Sissy squat</t>
  </si>
  <si>
    <t>S16</t>
  </si>
  <si>
    <t>Élévation frontale à la poulie</t>
  </si>
  <si>
    <t>Sissy squat à la presse allongé</t>
  </si>
  <si>
    <t>S17</t>
  </si>
  <si>
    <t>Élévation frontale sur banc incliné</t>
  </si>
  <si>
    <t>Squat avec haltères</t>
  </si>
  <si>
    <t>S18</t>
  </si>
  <si>
    <t>Élévation latérale à la machine</t>
  </si>
  <si>
    <t>Squat indien</t>
  </si>
  <si>
    <t>S19</t>
  </si>
  <si>
    <t>L-Fly allongé à la poulie basse</t>
  </si>
  <si>
    <t>Glute Ham Raise</t>
  </si>
  <si>
    <t>S20</t>
  </si>
  <si>
    <t>L-Fly assis à la poulie basse</t>
  </si>
  <si>
    <t>Leg curl assis</t>
  </si>
  <si>
    <t>S21</t>
  </si>
  <si>
    <t>L-Fly avec haltère</t>
  </si>
  <si>
    <t>S22</t>
  </si>
  <si>
    <t>L-Fly debout à la poulie</t>
  </si>
  <si>
    <t>Extension au banc à lombaires à 45 degrés</t>
  </si>
  <si>
    <t>S23</t>
  </si>
  <si>
    <t>Rotation externe debout</t>
  </si>
  <si>
    <t>S24</t>
  </si>
  <si>
    <t>Rotation interne allongé à la poulie basse</t>
  </si>
  <si>
    <t>Leg curl allongé</t>
  </si>
  <si>
    <t>S25</t>
  </si>
  <si>
    <t>Rotation interne assis à la poulie basse</t>
  </si>
  <si>
    <t>Leg curl debout à une jambe</t>
  </si>
  <si>
    <t>S26</t>
  </si>
  <si>
    <t>Rotation interne avec haltère</t>
  </si>
  <si>
    <t>Leg curl debout à une jambe à la poulie</t>
  </si>
  <si>
    <t>Rotation interne debout à la poulie</t>
  </si>
  <si>
    <t>Extension au banc à lombaires à 90 degrés</t>
  </si>
  <si>
    <t>Yo-yo level 1</t>
  </si>
  <si>
    <t>septembre</t>
  </si>
  <si>
    <t>Ailier/arrière</t>
  </si>
  <si>
    <t>Centre</t>
  </si>
  <si>
    <t>HORS SECTION</t>
  </si>
  <si>
    <t>BLESSE</t>
  </si>
  <si>
    <t>1RM HIP THRUST</t>
  </si>
  <si>
    <t>Novembre</t>
  </si>
  <si>
    <t>Étiquettes de lignes</t>
  </si>
  <si>
    <t>Total général</t>
  </si>
  <si>
    <t>Poids (kg)2</t>
  </si>
  <si>
    <t>1RM DC (avant)</t>
  </si>
  <si>
    <t>1RM DC (après)</t>
  </si>
  <si>
    <t>1RM TIRAGE (avant)</t>
  </si>
  <si>
    <t>1RM TIRAGE (après)</t>
  </si>
  <si>
    <t>1RM SDT (avant)</t>
  </si>
  <si>
    <t>1RM SDT (après)</t>
  </si>
  <si>
    <t>10m (s) (après)</t>
  </si>
  <si>
    <t>10m (s) (avant)</t>
  </si>
  <si>
    <t>20m (s) (avant)</t>
  </si>
  <si>
    <t>20m (s) (après)</t>
  </si>
  <si>
    <t>25m (s) (avant)</t>
  </si>
  <si>
    <t>25m (s) (après)</t>
  </si>
  <si>
    <t>50m (s) (avant)</t>
  </si>
  <si>
    <t>50m (s) (après)</t>
  </si>
  <si>
    <t>10m (s) (avant</t>
  </si>
  <si>
    <t>10m (s) (après</t>
  </si>
  <si>
    <t>20m (s) (avant</t>
  </si>
  <si>
    <t>20m (s) (après</t>
  </si>
  <si>
    <t>25m (s) (avant</t>
  </si>
  <si>
    <t>25m (s) (après</t>
  </si>
  <si>
    <t>50m (s) (avant</t>
  </si>
  <si>
    <t>50m (s) (après</t>
  </si>
  <si>
    <t>Flexion</t>
  </si>
  <si>
    <t>Extension</t>
  </si>
  <si>
    <t>Ratio Ext/Flé</t>
  </si>
  <si>
    <t>Norme</t>
  </si>
  <si>
    <t>Janvier</t>
  </si>
  <si>
    <t>Yo-yo Palier</t>
  </si>
  <si>
    <t>30m (s)</t>
  </si>
  <si>
    <t>40m (s)</t>
  </si>
  <si>
    <t>m.s 30m</t>
  </si>
  <si>
    <t>KM/H 30m</t>
  </si>
  <si>
    <t>m.s 40m</t>
  </si>
  <si>
    <t>KM/H 40m</t>
  </si>
  <si>
    <t>10m - 20m</t>
  </si>
  <si>
    <t>20-30m</t>
  </si>
  <si>
    <t>30-40m</t>
  </si>
  <si>
    <t>0-10m</t>
  </si>
  <si>
    <t>ms10-20m</t>
  </si>
  <si>
    <t>ms20-30m</t>
  </si>
  <si>
    <t>ms30-40m</t>
  </si>
  <si>
    <t xml:space="preserve">3RM Tirage </t>
  </si>
  <si>
    <t>3RM SQUAT</t>
  </si>
  <si>
    <t>3RM DC</t>
  </si>
  <si>
    <t>Amaïa</t>
  </si>
  <si>
    <t>Jade</t>
  </si>
  <si>
    <t>Lily - Naudin</t>
  </si>
  <si>
    <t xml:space="preserve">Zoé </t>
  </si>
  <si>
    <t>Yo-yo Test</t>
  </si>
  <si>
    <t xml:space="preserve">3RM Squat </t>
  </si>
  <si>
    <t>shayna</t>
  </si>
  <si>
    <t>Mai</t>
  </si>
  <si>
    <t>Yo-yo (m)</t>
  </si>
  <si>
    <t>1RM Tirage</t>
  </si>
  <si>
    <t>3RM Squat</t>
  </si>
  <si>
    <t>Broadjump (cm)</t>
  </si>
  <si>
    <t>BroadJump (cm)2</t>
  </si>
  <si>
    <t>DC relative</t>
  </si>
  <si>
    <t>Tirage relative</t>
  </si>
  <si>
    <t>Squat Relative</t>
  </si>
  <si>
    <t>CAMILLE</t>
  </si>
  <si>
    <t>50 TIRAGE</t>
  </si>
  <si>
    <t xml:space="preserve">LOU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</si>
</sst>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0" fillId="2" borderId="0" xfId="0" applyFill="1"/>
    <xf numFmtId="2" fontId="0" fillId="0" borderId="0" xfId="0" applyNumberFormat="1"/>
    <xf numFmtId="2" fontId="0" fillId="0" borderId="1" xfId="0" applyNumberFormat="1" applyBorder="1"/>
    <xf numFmtId="0" fontId="2" fillId="0" borderId="0" xfId="0" applyFont="1"/>
    <xf numFmtId="14" fontId="0" fillId="0" borderId="0" xfId="0" applyNumberFormat="1"/>
    <xf numFmtId="0" fontId="0" fillId="3" borderId="0" xfId="0" applyFill="1"/>
    <xf numFmtId="2" fontId="1" fillId="0" borderId="0" xfId="0" applyNumberFormat="1" applyFont="1"/>
    <xf numFmtId="0" fontId="4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5" borderId="0" xfId="0" applyFill="1"/>
    <xf numFmtId="2" fontId="0" fillId="5" borderId="0" xfId="0" applyNumberFormat="1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1" fontId="0" fillId="3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" fontId="0" fillId="6" borderId="0" xfId="0" applyNumberFormat="1" applyFill="1" applyAlignment="1">
      <alignment horizontal="center" vertical="center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center" vertical="center"/>
    </xf>
    <xf numFmtId="0" fontId="0" fillId="8" borderId="0" xfId="0" applyFill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3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3" borderId="0" xfId="0" applyNumberFormat="1" applyFill="1" applyAlignment="1">
      <alignment horizontal="center"/>
    </xf>
    <xf numFmtId="17" fontId="1" fillId="0" borderId="0" xfId="0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2" xfId="0" applyFont="1" applyBorder="1" applyAlignment="1">
      <alignment horizontal="center" vertical="center"/>
    </xf>
    <xf numFmtId="0" fontId="0" fillId="11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12" borderId="0" xfId="0" applyFill="1" applyAlignment="1">
      <alignment horizontal="center"/>
    </xf>
    <xf numFmtId="0" fontId="0" fillId="0" borderId="0" xfId="0" applyFont="1" applyBorder="1" applyAlignment="1">
      <alignment horizontal="center" vertical="center"/>
    </xf>
    <xf numFmtId="0" fontId="0" fillId="13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Border="1"/>
    <xf numFmtId="0" fontId="0" fillId="12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2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  <xf numFmtId="2" fontId="0" fillId="0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200"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</dxf>
    <dxf>
      <numFmt numFmtId="19" formatCode="dd/mm/yyyy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A50021"/>
      <color rgb="FF0058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Septembre!$Z$1</c:f>
          <c:strCache>
            <c:ptCount val="1"/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Septembre!$A$2:$A$37</c:f>
              <c:strCache>
                <c:ptCount val="36"/>
                <c:pt idx="0">
                  <c:v>Alina</c:v>
                </c:pt>
                <c:pt idx="1">
                  <c:v>Amaia</c:v>
                </c:pt>
                <c:pt idx="2">
                  <c:v>Andréa</c:v>
                </c:pt>
                <c:pt idx="3">
                  <c:v>Annaelle </c:v>
                </c:pt>
                <c:pt idx="4">
                  <c:v>Augustine </c:v>
                </c:pt>
                <c:pt idx="5">
                  <c:v>Calliopée</c:v>
                </c:pt>
                <c:pt idx="6">
                  <c:v>Camille</c:v>
                </c:pt>
                <c:pt idx="7">
                  <c:v>Candice</c:v>
                </c:pt>
                <c:pt idx="8">
                  <c:v>Charlotte</c:v>
                </c:pt>
                <c:pt idx="9">
                  <c:v>Ciara</c:v>
                </c:pt>
                <c:pt idx="10">
                  <c:v>Clara</c:v>
                </c:pt>
                <c:pt idx="11">
                  <c:v>Danaé</c:v>
                </c:pt>
                <c:pt idx="12">
                  <c:v>Elyna</c:v>
                </c:pt>
                <c:pt idx="13">
                  <c:v>Emilie</c:v>
                </c:pt>
                <c:pt idx="14">
                  <c:v>Faustine</c:v>
                </c:pt>
                <c:pt idx="15">
                  <c:v>Ines</c:v>
                </c:pt>
                <c:pt idx="16">
                  <c:v>Ines R</c:v>
                </c:pt>
                <c:pt idx="17">
                  <c:v>Jade </c:v>
                </c:pt>
                <c:pt idx="18">
                  <c:v>Kélia </c:v>
                </c:pt>
                <c:pt idx="19">
                  <c:v>Kira</c:v>
                </c:pt>
                <c:pt idx="20">
                  <c:v>Lily B</c:v>
                </c:pt>
                <c:pt idx="21">
                  <c:v>Lily N</c:v>
                </c:pt>
                <c:pt idx="22">
                  <c:v>Loréana</c:v>
                </c:pt>
                <c:pt idx="23">
                  <c:v>Louane D</c:v>
                </c:pt>
                <c:pt idx="24">
                  <c:v>Louanne Dom</c:v>
                </c:pt>
                <c:pt idx="25">
                  <c:v>Lylou</c:v>
                </c:pt>
                <c:pt idx="26">
                  <c:v>Maëna</c:v>
                </c:pt>
                <c:pt idx="27">
                  <c:v>Malaury </c:v>
                </c:pt>
                <c:pt idx="28">
                  <c:v>Margaux</c:v>
                </c:pt>
                <c:pt idx="29">
                  <c:v>Mathilde</c:v>
                </c:pt>
                <c:pt idx="30">
                  <c:v>Maylis</c:v>
                </c:pt>
                <c:pt idx="31">
                  <c:v>Méloée</c:v>
                </c:pt>
                <c:pt idx="32">
                  <c:v>Morgane</c:v>
                </c:pt>
                <c:pt idx="33">
                  <c:v>Romane </c:v>
                </c:pt>
                <c:pt idx="34">
                  <c:v>Shayna</c:v>
                </c:pt>
                <c:pt idx="35">
                  <c:v>Zoé</c:v>
                </c:pt>
              </c:strCache>
            </c:strRef>
          </c:cat>
          <c:val>
            <c:numRef>
              <c:f>Septembre!$Z$2:$Z$25</c:f>
              <c:numCache>
                <c:formatCode>0.00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1-2922-4F1D-B281-32FEF0FBE6B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545384143"/>
        <c:axId val="1545384623"/>
      </c:barChart>
      <c:catAx>
        <c:axId val="154538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5384623"/>
        <c:crosses val="autoZero"/>
        <c:auto val="1"/>
        <c:lblAlgn val="ctr"/>
        <c:lblOffset val="100"/>
        <c:noMultiLvlLbl val="0"/>
      </c:catAx>
      <c:valAx>
        <c:axId val="1545384623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54538414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 0m 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2e Ligne  Danaé</c:v>
              </c:pt>
              <c:pt idx="1">
                <c:v>2e Ligne  Malaury</c:v>
              </c:pt>
            </c:strLit>
          </c:cat>
          <c: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ADD-4536-BC1D-56FFF75263E3}"/>
            </c:ext>
          </c:extLst>
        </c:ser>
        <c:ser>
          <c:idx val="1"/>
          <c:order val="1"/>
          <c:tx>
            <c:v> 25m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2e Ligne  Danaé</c:v>
              </c:pt>
              <c:pt idx="1">
                <c:v>2e Ligne  Malaury</c:v>
              </c:pt>
            </c:strLit>
          </c:cat>
          <c: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77F-4052-8DCE-8A9CE58C8521}"/>
            </c:ext>
          </c:extLst>
        </c:ser>
        <c:ser>
          <c:idx val="2"/>
          <c:order val="2"/>
          <c:tx>
            <c:v> 50m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2e Ligne  Danaé</c:v>
              </c:pt>
              <c:pt idx="1">
                <c:v>2e Ligne  Malaury</c:v>
              </c:pt>
            </c:strLit>
          </c:cat>
          <c: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577F-4052-8DCE-8A9CE58C8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1326800"/>
        <c:axId val="1141327760"/>
      </c:barChart>
      <c:catAx>
        <c:axId val="114132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41327760"/>
        <c:crosses val="autoZero"/>
        <c:auto val="1"/>
        <c:lblAlgn val="ctr"/>
        <c:lblOffset val="100"/>
        <c:noMultiLvlLbl val="0"/>
      </c:catAx>
      <c:valAx>
        <c:axId val="114132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4132680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 U18F 25_26.xlsx]Feuil3!Tableau croisé dynamique2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>
              <a:lumMod val="40000"/>
              <a:lumOff val="6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>
              <a:lumMod val="40000"/>
              <a:lumOff val="6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>
              <a:lumMod val="40000"/>
              <a:lumOff val="6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lumMod val="40000"/>
              <a:lumOff val="6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0070C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0070C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>
              <a:lumMod val="60000"/>
              <a:lumOff val="4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5">
              <a:lumMod val="60000"/>
              <a:lumOff val="4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2">
              <a:lumMod val="60000"/>
              <a:lumOff val="4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2">
              <a:lumMod val="60000"/>
              <a:lumOff val="4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>
              <a:lumMod val="7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3258915124753679E-3"/>
          <c:y val="2.5639606026432477E-4"/>
          <c:w val="0.98534819126724926"/>
          <c:h val="0.790816232772095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Feuil3!$G$40</c:f>
              <c:strCache>
                <c:ptCount val="1"/>
                <c:pt idx="0">
                  <c:v>10m (s) (avant</c:v>
                </c:pt>
              </c:strCache>
            </c:strRef>
          </c:tx>
          <c:spPr>
            <a:solidFill>
              <a:srgbClr val="0070C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Feuil3!$F$41:$F$48</c:f>
              <c:multiLvlStrCache>
                <c:ptCount val="6"/>
                <c:lvl>
                  <c:pt idx="0">
                    <c:v>Charlotte</c:v>
                  </c:pt>
                  <c:pt idx="1">
                    <c:v>Clara</c:v>
                  </c:pt>
                  <c:pt idx="2">
                    <c:v>Louane D</c:v>
                  </c:pt>
                  <c:pt idx="3">
                    <c:v>Maëna</c:v>
                  </c:pt>
                  <c:pt idx="4">
                    <c:v>Maylis</c:v>
                  </c:pt>
                  <c:pt idx="5">
                    <c:v>Morgane</c:v>
                  </c:pt>
                </c:lvl>
                <c:lvl>
                  <c:pt idx="0">
                    <c:v>Ailier/arrière</c:v>
                  </c:pt>
                </c:lvl>
              </c:multiLvlStrCache>
            </c:multiLvlStrRef>
          </c:cat>
          <c:val>
            <c:numRef>
              <c:f>Feuil3!$G$41:$G$48</c:f>
              <c:numCache>
                <c:formatCode>General</c:formatCode>
                <c:ptCount val="6"/>
                <c:pt idx="0">
                  <c:v>1.92</c:v>
                </c:pt>
                <c:pt idx="1">
                  <c:v>1.71</c:v>
                </c:pt>
                <c:pt idx="2">
                  <c:v>1.84</c:v>
                </c:pt>
                <c:pt idx="3">
                  <c:v>1.92</c:v>
                </c:pt>
                <c:pt idx="4">
                  <c:v>1.97</c:v>
                </c:pt>
                <c:pt idx="5">
                  <c:v>1.95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460-45F5-ABCA-D134299E0F8D}"/>
            </c:ext>
          </c:extLst>
        </c:ser>
        <c:ser>
          <c:idx val="1"/>
          <c:order val="1"/>
          <c:tx>
            <c:strRef>
              <c:f>Feuil3!$H$40</c:f>
              <c:strCache>
                <c:ptCount val="1"/>
                <c:pt idx="0">
                  <c:v>10m (s) (après</c:v>
                </c:pt>
              </c:strCache>
            </c:strRef>
          </c:tx>
          <c:spPr>
            <a:solidFill>
              <a:srgbClr val="0070C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Feuil3!$F$41:$F$48</c:f>
              <c:multiLvlStrCache>
                <c:ptCount val="6"/>
                <c:lvl>
                  <c:pt idx="0">
                    <c:v>Charlotte</c:v>
                  </c:pt>
                  <c:pt idx="1">
                    <c:v>Clara</c:v>
                  </c:pt>
                  <c:pt idx="2">
                    <c:v>Louane D</c:v>
                  </c:pt>
                  <c:pt idx="3">
                    <c:v>Maëna</c:v>
                  </c:pt>
                  <c:pt idx="4">
                    <c:v>Maylis</c:v>
                  </c:pt>
                  <c:pt idx="5">
                    <c:v>Morgane</c:v>
                  </c:pt>
                </c:lvl>
                <c:lvl>
                  <c:pt idx="0">
                    <c:v>Ailier/arrière</c:v>
                  </c:pt>
                </c:lvl>
              </c:multiLvlStrCache>
            </c:multiLvlStrRef>
          </c:cat>
          <c:val>
            <c:numRef>
              <c:f>Feuil3!$H$41:$H$48</c:f>
              <c:numCache>
                <c:formatCode>General</c:formatCode>
                <c:ptCount val="6"/>
                <c:pt idx="0">
                  <c:v>1.82</c:v>
                </c:pt>
                <c:pt idx="2">
                  <c:v>1.8</c:v>
                </c:pt>
                <c:pt idx="4">
                  <c:v>1.88</c:v>
                </c:pt>
                <c:pt idx="5">
                  <c:v>1.83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460-45F5-ABCA-D134299E0F8D}"/>
            </c:ext>
          </c:extLst>
        </c:ser>
        <c:ser>
          <c:idx val="2"/>
          <c:order val="2"/>
          <c:tx>
            <c:strRef>
              <c:f>Feuil3!$I$40</c:f>
              <c:strCache>
                <c:ptCount val="1"/>
                <c:pt idx="0">
                  <c:v>20m (s) (avant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Feuil3!$F$41:$F$48</c:f>
              <c:multiLvlStrCache>
                <c:ptCount val="6"/>
                <c:lvl>
                  <c:pt idx="0">
                    <c:v>Charlotte</c:v>
                  </c:pt>
                  <c:pt idx="1">
                    <c:v>Clara</c:v>
                  </c:pt>
                  <c:pt idx="2">
                    <c:v>Louane D</c:v>
                  </c:pt>
                  <c:pt idx="3">
                    <c:v>Maëna</c:v>
                  </c:pt>
                  <c:pt idx="4">
                    <c:v>Maylis</c:v>
                  </c:pt>
                  <c:pt idx="5">
                    <c:v>Morgane</c:v>
                  </c:pt>
                </c:lvl>
                <c:lvl>
                  <c:pt idx="0">
                    <c:v>Ailier/arrière</c:v>
                  </c:pt>
                </c:lvl>
              </c:multiLvlStrCache>
            </c:multiLvlStrRef>
          </c:cat>
          <c:val>
            <c:numRef>
              <c:f>Feuil3!$I$41:$I$48</c:f>
              <c:numCache>
                <c:formatCode>General</c:formatCode>
                <c:ptCount val="6"/>
                <c:pt idx="0">
                  <c:v>3.32</c:v>
                </c:pt>
                <c:pt idx="1">
                  <c:v>3.1</c:v>
                </c:pt>
                <c:pt idx="2">
                  <c:v>3.26</c:v>
                </c:pt>
                <c:pt idx="3">
                  <c:v>3.3</c:v>
                </c:pt>
                <c:pt idx="4">
                  <c:v>3.47</c:v>
                </c:pt>
                <c:pt idx="5">
                  <c:v>3.37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460-45F5-ABCA-D134299E0F8D}"/>
            </c:ext>
          </c:extLst>
        </c:ser>
        <c:ser>
          <c:idx val="3"/>
          <c:order val="3"/>
          <c:tx>
            <c:strRef>
              <c:f>Feuil3!$J$40</c:f>
              <c:strCache>
                <c:ptCount val="1"/>
                <c:pt idx="0">
                  <c:v>20m (s) (après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Feuil3!$F$41:$F$48</c:f>
              <c:multiLvlStrCache>
                <c:ptCount val="6"/>
                <c:lvl>
                  <c:pt idx="0">
                    <c:v>Charlotte</c:v>
                  </c:pt>
                  <c:pt idx="1">
                    <c:v>Clara</c:v>
                  </c:pt>
                  <c:pt idx="2">
                    <c:v>Louane D</c:v>
                  </c:pt>
                  <c:pt idx="3">
                    <c:v>Maëna</c:v>
                  </c:pt>
                  <c:pt idx="4">
                    <c:v>Maylis</c:v>
                  </c:pt>
                  <c:pt idx="5">
                    <c:v>Morgane</c:v>
                  </c:pt>
                </c:lvl>
                <c:lvl>
                  <c:pt idx="0">
                    <c:v>Ailier/arrière</c:v>
                  </c:pt>
                </c:lvl>
              </c:multiLvlStrCache>
            </c:multiLvlStrRef>
          </c:cat>
          <c:val>
            <c:numRef>
              <c:f>Feuil3!$J$41:$J$48</c:f>
              <c:numCache>
                <c:formatCode>General</c:formatCode>
                <c:ptCount val="6"/>
                <c:pt idx="0">
                  <c:v>3.19</c:v>
                </c:pt>
                <c:pt idx="2">
                  <c:v>3.18</c:v>
                </c:pt>
                <c:pt idx="4">
                  <c:v>3.39</c:v>
                </c:pt>
                <c:pt idx="5">
                  <c:v>3.24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460-45F5-ABCA-D134299E0F8D}"/>
            </c:ext>
          </c:extLst>
        </c:ser>
        <c:ser>
          <c:idx val="4"/>
          <c:order val="4"/>
          <c:tx>
            <c:strRef>
              <c:f>Feuil3!$K$40</c:f>
              <c:strCache>
                <c:ptCount val="1"/>
                <c:pt idx="0">
                  <c:v>25m (s) (avant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Feuil3!$F$41:$F$48</c:f>
              <c:multiLvlStrCache>
                <c:ptCount val="6"/>
                <c:lvl>
                  <c:pt idx="0">
                    <c:v>Charlotte</c:v>
                  </c:pt>
                  <c:pt idx="1">
                    <c:v>Clara</c:v>
                  </c:pt>
                  <c:pt idx="2">
                    <c:v>Louane D</c:v>
                  </c:pt>
                  <c:pt idx="3">
                    <c:v>Maëna</c:v>
                  </c:pt>
                  <c:pt idx="4">
                    <c:v>Maylis</c:v>
                  </c:pt>
                  <c:pt idx="5">
                    <c:v>Morgane</c:v>
                  </c:pt>
                </c:lvl>
                <c:lvl>
                  <c:pt idx="0">
                    <c:v>Ailier/arrière</c:v>
                  </c:pt>
                </c:lvl>
              </c:multiLvlStrCache>
            </c:multiLvlStrRef>
          </c:cat>
          <c:val>
            <c:numRef>
              <c:f>Feuil3!$K$41:$K$48</c:f>
              <c:numCache>
                <c:formatCode>General</c:formatCode>
                <c:ptCount val="6"/>
                <c:pt idx="1">
                  <c:v>3.73</c:v>
                </c:pt>
                <c:pt idx="2">
                  <c:v>3.96</c:v>
                </c:pt>
                <c:pt idx="3">
                  <c:v>3.99</c:v>
                </c:pt>
                <c:pt idx="4">
                  <c:v>4.28</c:v>
                </c:pt>
                <c:pt idx="5">
                  <c:v>4.0999999999999996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460-45F5-ABCA-D134299E0F8D}"/>
            </c:ext>
          </c:extLst>
        </c:ser>
        <c:ser>
          <c:idx val="5"/>
          <c:order val="5"/>
          <c:tx>
            <c:strRef>
              <c:f>Feuil3!$L$40</c:f>
              <c:strCache>
                <c:ptCount val="1"/>
                <c:pt idx="0">
                  <c:v>25m (s) (après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Feuil3!$F$41:$F$48</c:f>
              <c:multiLvlStrCache>
                <c:ptCount val="6"/>
                <c:lvl>
                  <c:pt idx="0">
                    <c:v>Charlotte</c:v>
                  </c:pt>
                  <c:pt idx="1">
                    <c:v>Clara</c:v>
                  </c:pt>
                  <c:pt idx="2">
                    <c:v>Louane D</c:v>
                  </c:pt>
                  <c:pt idx="3">
                    <c:v>Maëna</c:v>
                  </c:pt>
                  <c:pt idx="4">
                    <c:v>Maylis</c:v>
                  </c:pt>
                  <c:pt idx="5">
                    <c:v>Morgane</c:v>
                  </c:pt>
                </c:lvl>
                <c:lvl>
                  <c:pt idx="0">
                    <c:v>Ailier/arrière</c:v>
                  </c:pt>
                </c:lvl>
              </c:multiLvlStrCache>
            </c:multiLvlStrRef>
          </c:cat>
          <c:val>
            <c:numRef>
              <c:f>Feuil3!$L$41:$L$48</c:f>
              <c:numCache>
                <c:formatCode>General</c:formatCode>
                <c:ptCount val="6"/>
                <c:pt idx="0">
                  <c:v>3.91</c:v>
                </c:pt>
                <c:pt idx="2">
                  <c:v>3.8</c:v>
                </c:pt>
                <c:pt idx="4">
                  <c:v>3.95</c:v>
                </c:pt>
                <c:pt idx="5">
                  <c:v>3.96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460-45F5-ABCA-D134299E0F8D}"/>
            </c:ext>
          </c:extLst>
        </c:ser>
        <c:ser>
          <c:idx val="6"/>
          <c:order val="6"/>
          <c:tx>
            <c:strRef>
              <c:f>Feuil3!$M$40</c:f>
              <c:strCache>
                <c:ptCount val="1"/>
                <c:pt idx="0">
                  <c:v>50m (s) (avant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Feuil3!$F$41:$F$48</c:f>
              <c:multiLvlStrCache>
                <c:ptCount val="6"/>
                <c:lvl>
                  <c:pt idx="0">
                    <c:v>Charlotte</c:v>
                  </c:pt>
                  <c:pt idx="1">
                    <c:v>Clara</c:v>
                  </c:pt>
                  <c:pt idx="2">
                    <c:v>Louane D</c:v>
                  </c:pt>
                  <c:pt idx="3">
                    <c:v>Maëna</c:v>
                  </c:pt>
                  <c:pt idx="4">
                    <c:v>Maylis</c:v>
                  </c:pt>
                  <c:pt idx="5">
                    <c:v>Morgane</c:v>
                  </c:pt>
                </c:lvl>
                <c:lvl>
                  <c:pt idx="0">
                    <c:v>Ailier/arrière</c:v>
                  </c:pt>
                </c:lvl>
              </c:multiLvlStrCache>
            </c:multiLvlStrRef>
          </c:cat>
          <c:val>
            <c:numRef>
              <c:f>Feuil3!$M$41:$M$48</c:f>
              <c:numCache>
                <c:formatCode>General</c:formatCode>
                <c:ptCount val="6"/>
                <c:pt idx="1">
                  <c:v>6.94</c:v>
                </c:pt>
                <c:pt idx="2">
                  <c:v>7.48</c:v>
                </c:pt>
                <c:pt idx="3">
                  <c:v>7.36</c:v>
                </c:pt>
                <c:pt idx="4">
                  <c:v>8.02</c:v>
                </c:pt>
                <c:pt idx="5">
                  <c:v>7.69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460-45F5-ABCA-D134299E0F8D}"/>
            </c:ext>
          </c:extLst>
        </c:ser>
        <c:ser>
          <c:idx val="7"/>
          <c:order val="7"/>
          <c:tx>
            <c:strRef>
              <c:f>Feuil3!$N$40</c:f>
              <c:strCache>
                <c:ptCount val="1"/>
                <c:pt idx="0">
                  <c:v>50m (s) (après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Feuil3!$F$41:$F$48</c:f>
              <c:multiLvlStrCache>
                <c:ptCount val="6"/>
                <c:lvl>
                  <c:pt idx="0">
                    <c:v>Charlotte</c:v>
                  </c:pt>
                  <c:pt idx="1">
                    <c:v>Clara</c:v>
                  </c:pt>
                  <c:pt idx="2">
                    <c:v>Louane D</c:v>
                  </c:pt>
                  <c:pt idx="3">
                    <c:v>Maëna</c:v>
                  </c:pt>
                  <c:pt idx="4">
                    <c:v>Maylis</c:v>
                  </c:pt>
                  <c:pt idx="5">
                    <c:v>Morgane</c:v>
                  </c:pt>
                </c:lvl>
                <c:lvl>
                  <c:pt idx="0">
                    <c:v>Ailier/arrière</c:v>
                  </c:pt>
                </c:lvl>
              </c:multiLvlStrCache>
            </c:multiLvlStrRef>
          </c:cat>
          <c:val>
            <c:numRef>
              <c:f>Feuil3!$N$41:$N$48</c:f>
              <c:numCache>
                <c:formatCode>General</c:formatCode>
                <c:ptCount val="6"/>
                <c:pt idx="0">
                  <c:v>7.14</c:v>
                </c:pt>
                <c:pt idx="2">
                  <c:v>7.09</c:v>
                </c:pt>
                <c:pt idx="4">
                  <c:v>7.39</c:v>
                </c:pt>
                <c:pt idx="5">
                  <c:v>7.38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F460-45F5-ABCA-D134299E0F8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311293535"/>
        <c:axId val="351931583"/>
      </c:barChart>
      <c:catAx>
        <c:axId val="31129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1931583"/>
        <c:crosses val="autoZero"/>
        <c:auto val="1"/>
        <c:lblAlgn val="ctr"/>
        <c:lblOffset val="100"/>
        <c:noMultiLvlLbl val="0"/>
      </c:catAx>
      <c:valAx>
        <c:axId val="35193158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1129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662725955904665"/>
          <c:y val="0.89431184993647561"/>
          <c:w val="0.73337275605343821"/>
          <c:h val="7.4398379080188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Novembre!$AE$1</c:f>
          <c:strCache>
            <c:ptCount val="1"/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Novembre!$A$2:$A$36</c:f>
              <c:strCache>
                <c:ptCount val="35"/>
                <c:pt idx="0">
                  <c:v>Alina</c:v>
                </c:pt>
                <c:pt idx="1">
                  <c:v>Amaia</c:v>
                </c:pt>
                <c:pt idx="2">
                  <c:v>Andréa</c:v>
                </c:pt>
                <c:pt idx="3">
                  <c:v>Annaelle </c:v>
                </c:pt>
                <c:pt idx="4">
                  <c:v>Augustine </c:v>
                </c:pt>
                <c:pt idx="5">
                  <c:v>Calliopée</c:v>
                </c:pt>
                <c:pt idx="6">
                  <c:v>Camille</c:v>
                </c:pt>
                <c:pt idx="7">
                  <c:v>Charlotte</c:v>
                </c:pt>
                <c:pt idx="8">
                  <c:v>Ciara</c:v>
                </c:pt>
                <c:pt idx="9">
                  <c:v>Clara</c:v>
                </c:pt>
                <c:pt idx="10">
                  <c:v>Danaé</c:v>
                </c:pt>
                <c:pt idx="11">
                  <c:v>Elyna</c:v>
                </c:pt>
                <c:pt idx="12">
                  <c:v>Emilie</c:v>
                </c:pt>
                <c:pt idx="13">
                  <c:v>Faustine</c:v>
                </c:pt>
                <c:pt idx="14">
                  <c:v>Ines</c:v>
                </c:pt>
                <c:pt idx="15">
                  <c:v>Ines R</c:v>
                </c:pt>
                <c:pt idx="16">
                  <c:v>Jade </c:v>
                </c:pt>
                <c:pt idx="17">
                  <c:v>Kélia </c:v>
                </c:pt>
                <c:pt idx="18">
                  <c:v>Kira</c:v>
                </c:pt>
                <c:pt idx="19">
                  <c:v>Lily B</c:v>
                </c:pt>
                <c:pt idx="20">
                  <c:v>Lily N</c:v>
                </c:pt>
                <c:pt idx="21">
                  <c:v>Loréana</c:v>
                </c:pt>
                <c:pt idx="22">
                  <c:v>Louane D</c:v>
                </c:pt>
                <c:pt idx="23">
                  <c:v>Louanne Dom</c:v>
                </c:pt>
                <c:pt idx="24">
                  <c:v>Lylou</c:v>
                </c:pt>
                <c:pt idx="25">
                  <c:v>Maëna</c:v>
                </c:pt>
                <c:pt idx="26">
                  <c:v>Malaury </c:v>
                </c:pt>
                <c:pt idx="27">
                  <c:v>Margaux</c:v>
                </c:pt>
                <c:pt idx="28">
                  <c:v>Mathilde</c:v>
                </c:pt>
                <c:pt idx="29">
                  <c:v>Maylis</c:v>
                </c:pt>
                <c:pt idx="30">
                  <c:v>Méloée</c:v>
                </c:pt>
                <c:pt idx="31">
                  <c:v>Morgane</c:v>
                </c:pt>
                <c:pt idx="32">
                  <c:v>Romane </c:v>
                </c:pt>
                <c:pt idx="33">
                  <c:v>Shayna</c:v>
                </c:pt>
                <c:pt idx="34">
                  <c:v>Zoé</c:v>
                </c:pt>
              </c:strCache>
            </c:strRef>
          </c:cat>
          <c:val>
            <c:numRef>
              <c:f>Novembre!$AE$2:$AE$25</c:f>
              <c:numCache>
                <c:formatCode>0.00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0-6C26-4F57-961E-5C1A50A1F14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545384143"/>
        <c:axId val="1545384623"/>
      </c:barChart>
      <c:catAx>
        <c:axId val="154538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5384623"/>
        <c:crosses val="autoZero"/>
        <c:auto val="1"/>
        <c:lblAlgn val="ctr"/>
        <c:lblOffset val="100"/>
        <c:noMultiLvlLbl val="0"/>
      </c:catAx>
      <c:valAx>
        <c:axId val="1545384623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54538414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 0m 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2e Ligne  Danaé</c:v>
              </c:pt>
              <c:pt idx="1">
                <c:v>2e Ligne  Malaury</c:v>
              </c:pt>
            </c:strLit>
          </c:cat>
          <c: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E8B-488F-BF17-021774ADD5B5}"/>
            </c:ext>
          </c:extLst>
        </c:ser>
        <c:ser>
          <c:idx val="1"/>
          <c:order val="1"/>
          <c:tx>
            <c:v> 25m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2e Ligne  Danaé</c:v>
              </c:pt>
              <c:pt idx="1">
                <c:v>2e Ligne  Malaury</c:v>
              </c:pt>
            </c:strLit>
          </c:cat>
          <c: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7E8B-488F-BF17-021774ADD5B5}"/>
            </c:ext>
          </c:extLst>
        </c:ser>
        <c:ser>
          <c:idx val="2"/>
          <c:order val="2"/>
          <c:tx>
            <c:v> 50m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2e Ligne  Danaé</c:v>
              </c:pt>
              <c:pt idx="1">
                <c:v>2e Ligne  Malaury</c:v>
              </c:pt>
            </c:strLit>
          </c:cat>
          <c: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7E8B-488F-BF17-021774ADD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1326800"/>
        <c:axId val="1141327760"/>
      </c:barChart>
      <c:catAx>
        <c:axId val="114132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41327760"/>
        <c:crosses val="autoZero"/>
        <c:auto val="1"/>
        <c:lblAlgn val="ctr"/>
        <c:lblOffset val="100"/>
        <c:noMultiLvlLbl val="0"/>
      </c:catAx>
      <c:valAx>
        <c:axId val="114132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4132680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Janvier!$AD$1</c:f>
          <c:strCache>
            <c:ptCount val="1"/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Janvier!$A$2:$A$36</c:f>
              <c:strCache>
                <c:ptCount val="35"/>
                <c:pt idx="0">
                  <c:v>Alina</c:v>
                </c:pt>
                <c:pt idx="1">
                  <c:v>Amaia</c:v>
                </c:pt>
                <c:pt idx="2">
                  <c:v>Andréa</c:v>
                </c:pt>
                <c:pt idx="3">
                  <c:v>Annaelle </c:v>
                </c:pt>
                <c:pt idx="4">
                  <c:v>Augustine </c:v>
                </c:pt>
                <c:pt idx="5">
                  <c:v>Calliopée</c:v>
                </c:pt>
                <c:pt idx="6">
                  <c:v>Camille</c:v>
                </c:pt>
                <c:pt idx="7">
                  <c:v>Charlotte</c:v>
                </c:pt>
                <c:pt idx="8">
                  <c:v>Ciara</c:v>
                </c:pt>
                <c:pt idx="9">
                  <c:v>Clara</c:v>
                </c:pt>
                <c:pt idx="10">
                  <c:v>Danaé</c:v>
                </c:pt>
                <c:pt idx="11">
                  <c:v>Elyna</c:v>
                </c:pt>
                <c:pt idx="12">
                  <c:v>Emilie</c:v>
                </c:pt>
                <c:pt idx="13">
                  <c:v>Faustine</c:v>
                </c:pt>
                <c:pt idx="14">
                  <c:v>Ines</c:v>
                </c:pt>
                <c:pt idx="15">
                  <c:v>Ines R</c:v>
                </c:pt>
                <c:pt idx="16">
                  <c:v>Jade </c:v>
                </c:pt>
                <c:pt idx="17">
                  <c:v>Kélia </c:v>
                </c:pt>
                <c:pt idx="18">
                  <c:v>Kira</c:v>
                </c:pt>
                <c:pt idx="19">
                  <c:v>Lily B</c:v>
                </c:pt>
                <c:pt idx="20">
                  <c:v>Lily N</c:v>
                </c:pt>
                <c:pt idx="21">
                  <c:v>Loréana</c:v>
                </c:pt>
                <c:pt idx="22">
                  <c:v>Louane D</c:v>
                </c:pt>
                <c:pt idx="23">
                  <c:v>Louanne Dom</c:v>
                </c:pt>
                <c:pt idx="24">
                  <c:v>Lylou</c:v>
                </c:pt>
                <c:pt idx="25">
                  <c:v>Maëna</c:v>
                </c:pt>
                <c:pt idx="26">
                  <c:v>Malaury </c:v>
                </c:pt>
                <c:pt idx="27">
                  <c:v>Margaux</c:v>
                </c:pt>
                <c:pt idx="28">
                  <c:v>Mathilde</c:v>
                </c:pt>
                <c:pt idx="29">
                  <c:v>Maylis</c:v>
                </c:pt>
                <c:pt idx="30">
                  <c:v>Méloée</c:v>
                </c:pt>
                <c:pt idx="31">
                  <c:v>Morgane</c:v>
                </c:pt>
                <c:pt idx="32">
                  <c:v>Romane </c:v>
                </c:pt>
                <c:pt idx="33">
                  <c:v>Shayna</c:v>
                </c:pt>
                <c:pt idx="34">
                  <c:v>Zoé</c:v>
                </c:pt>
              </c:strCache>
            </c:strRef>
          </c:cat>
          <c:val>
            <c:numRef>
              <c:f>Janvier!$AD$2:$AD$25</c:f>
              <c:numCache>
                <c:formatCode>0.00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0-D552-4DAF-8881-E226FEAF198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545384143"/>
        <c:axId val="1545384623"/>
      </c:barChart>
      <c:catAx>
        <c:axId val="154538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5384623"/>
        <c:crosses val="autoZero"/>
        <c:auto val="1"/>
        <c:lblAlgn val="ctr"/>
        <c:lblOffset val="100"/>
        <c:noMultiLvlLbl val="0"/>
      </c:catAx>
      <c:valAx>
        <c:axId val="1545384623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54538414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 0m 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2e Ligne  Danaé</c:v>
              </c:pt>
              <c:pt idx="1">
                <c:v>2e Ligne  Malaury</c:v>
              </c:pt>
            </c:strLit>
          </c:cat>
          <c: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063-468C-A3B0-4467777DF2C4}"/>
            </c:ext>
          </c:extLst>
        </c:ser>
        <c:ser>
          <c:idx val="1"/>
          <c:order val="1"/>
          <c:tx>
            <c:v> 25m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2e Ligne  Danaé</c:v>
              </c:pt>
              <c:pt idx="1">
                <c:v>2e Ligne  Malaury</c:v>
              </c:pt>
            </c:strLit>
          </c:cat>
          <c: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6063-468C-A3B0-4467777DF2C4}"/>
            </c:ext>
          </c:extLst>
        </c:ser>
        <c:ser>
          <c:idx val="2"/>
          <c:order val="2"/>
          <c:tx>
            <c:v> 50m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2e Ligne  Danaé</c:v>
              </c:pt>
              <c:pt idx="1">
                <c:v>2e Ligne  Malaury</c:v>
              </c:pt>
            </c:strLit>
          </c:cat>
          <c: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6063-468C-A3B0-4467777DF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1326800"/>
        <c:axId val="1141327760"/>
      </c:barChart>
      <c:catAx>
        <c:axId val="114132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41327760"/>
        <c:crosses val="autoZero"/>
        <c:auto val="1"/>
        <c:lblAlgn val="ctr"/>
        <c:lblOffset val="100"/>
        <c:noMultiLvlLbl val="0"/>
      </c:catAx>
      <c:valAx>
        <c:axId val="114132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4132680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'Mars (3RM + taille)'!$A$2:$A$36</c:f>
          <c:strCache>
            <c:ptCount val="1"/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'Mars (3RM + taille)'!$A$2:$A$36</c:f>
              <c:strCache>
                <c:ptCount val="35"/>
                <c:pt idx="0">
                  <c:v>Ines</c:v>
                </c:pt>
                <c:pt idx="1">
                  <c:v>Alina</c:v>
                </c:pt>
                <c:pt idx="2">
                  <c:v>Ciara</c:v>
                </c:pt>
                <c:pt idx="3">
                  <c:v>Ines R</c:v>
                </c:pt>
                <c:pt idx="4">
                  <c:v>Romane </c:v>
                </c:pt>
                <c:pt idx="5">
                  <c:v>Amaia</c:v>
                </c:pt>
                <c:pt idx="6">
                  <c:v>Malaury </c:v>
                </c:pt>
                <c:pt idx="7">
                  <c:v>Maylis</c:v>
                </c:pt>
                <c:pt idx="8">
                  <c:v>Faustine</c:v>
                </c:pt>
                <c:pt idx="9">
                  <c:v>Jade </c:v>
                </c:pt>
                <c:pt idx="10">
                  <c:v>Kira</c:v>
                </c:pt>
                <c:pt idx="11">
                  <c:v>Lily N</c:v>
                </c:pt>
                <c:pt idx="12">
                  <c:v>Louane D</c:v>
                </c:pt>
                <c:pt idx="13">
                  <c:v>Shayna</c:v>
                </c:pt>
                <c:pt idx="14">
                  <c:v>Annaelle </c:v>
                </c:pt>
                <c:pt idx="15">
                  <c:v>Emilie</c:v>
                </c:pt>
                <c:pt idx="16">
                  <c:v>Loréana</c:v>
                </c:pt>
                <c:pt idx="17">
                  <c:v>Maëna</c:v>
                </c:pt>
                <c:pt idx="18">
                  <c:v>Louanne Dom</c:v>
                </c:pt>
                <c:pt idx="19">
                  <c:v>Lily B</c:v>
                </c:pt>
                <c:pt idx="20">
                  <c:v>Méloée</c:v>
                </c:pt>
                <c:pt idx="21">
                  <c:v>Morgane</c:v>
                </c:pt>
                <c:pt idx="22">
                  <c:v>Zoé</c:v>
                </c:pt>
                <c:pt idx="23">
                  <c:v>Andréa</c:v>
                </c:pt>
                <c:pt idx="24">
                  <c:v>Augustine </c:v>
                </c:pt>
                <c:pt idx="25">
                  <c:v>Calliopée</c:v>
                </c:pt>
                <c:pt idx="26">
                  <c:v>Camille</c:v>
                </c:pt>
                <c:pt idx="27">
                  <c:v>Charlotte</c:v>
                </c:pt>
                <c:pt idx="28">
                  <c:v>Clara</c:v>
                </c:pt>
                <c:pt idx="29">
                  <c:v>Danaé</c:v>
                </c:pt>
                <c:pt idx="30">
                  <c:v>Elyna</c:v>
                </c:pt>
                <c:pt idx="31">
                  <c:v>Kélia </c:v>
                </c:pt>
                <c:pt idx="32">
                  <c:v>Lylou</c:v>
                </c:pt>
                <c:pt idx="33">
                  <c:v>Margaux</c:v>
                </c:pt>
                <c:pt idx="34">
                  <c:v>Mathilde</c:v>
                </c:pt>
              </c:strCache>
            </c:strRef>
          </c:cat>
          <c:val>
            <c:numRef>
              <c:f>'Mars (3RM + taille)'!$J$2:$J$25</c:f>
              <c:numCache>
                <c:formatCode>0.00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0-9B4F-403F-A3D3-95D9D4BEA46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545384143"/>
        <c:axId val="1545384623"/>
      </c:barChart>
      <c:catAx>
        <c:axId val="154538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5384623"/>
        <c:crosses val="autoZero"/>
        <c:auto val="1"/>
        <c:lblAlgn val="ctr"/>
        <c:lblOffset val="100"/>
        <c:noMultiLvlLbl val="0"/>
      </c:catAx>
      <c:valAx>
        <c:axId val="1545384623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54538414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 0m 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2e Ligne  Danaé</c:v>
              </c:pt>
              <c:pt idx="1">
                <c:v>2e Ligne  Malaury</c:v>
              </c:pt>
            </c:strLit>
          </c:cat>
          <c: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460-4FC3-92D7-719DE0B49DA4}"/>
            </c:ext>
          </c:extLst>
        </c:ser>
        <c:ser>
          <c:idx val="1"/>
          <c:order val="1"/>
          <c:tx>
            <c:v> 25m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2e Ligne  Danaé</c:v>
              </c:pt>
              <c:pt idx="1">
                <c:v>2e Ligne  Malaury</c:v>
              </c:pt>
            </c:strLit>
          </c:cat>
          <c: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9460-4FC3-92D7-719DE0B49DA4}"/>
            </c:ext>
          </c:extLst>
        </c:ser>
        <c:ser>
          <c:idx val="2"/>
          <c:order val="2"/>
          <c:tx>
            <c:v> 50m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2e Ligne  Danaé</c:v>
              </c:pt>
              <c:pt idx="1">
                <c:v>2e Ligne  Malaury</c:v>
              </c:pt>
            </c:strLit>
          </c:cat>
          <c: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9460-4FC3-92D7-719DE0B49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1326800"/>
        <c:axId val="1141327760"/>
      </c:barChart>
      <c:catAx>
        <c:axId val="114132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41327760"/>
        <c:crosses val="autoZero"/>
        <c:auto val="1"/>
        <c:lblAlgn val="ctr"/>
        <c:lblOffset val="100"/>
        <c:noMultiLvlLbl val="0"/>
      </c:catAx>
      <c:valAx>
        <c:axId val="114132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4132680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Mai!$AN$1</c:f>
          <c:strCache>
            <c:ptCount val="1"/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Mai!$A$2:$A$31</c:f>
              <c:strCache>
                <c:ptCount val="30"/>
                <c:pt idx="0">
                  <c:v>Alina</c:v>
                </c:pt>
                <c:pt idx="1">
                  <c:v>Amaia</c:v>
                </c:pt>
                <c:pt idx="2">
                  <c:v>Annaelle </c:v>
                </c:pt>
                <c:pt idx="3">
                  <c:v>Augustine </c:v>
                </c:pt>
                <c:pt idx="4">
                  <c:v>Calliopée</c:v>
                </c:pt>
                <c:pt idx="5">
                  <c:v>Charlotte</c:v>
                </c:pt>
                <c:pt idx="6">
                  <c:v>Ciara</c:v>
                </c:pt>
                <c:pt idx="7">
                  <c:v>Danaé</c:v>
                </c:pt>
                <c:pt idx="8">
                  <c:v>Emilie</c:v>
                </c:pt>
                <c:pt idx="9">
                  <c:v>Faustine</c:v>
                </c:pt>
                <c:pt idx="10">
                  <c:v>Ines</c:v>
                </c:pt>
                <c:pt idx="11">
                  <c:v>Ines R</c:v>
                </c:pt>
                <c:pt idx="12">
                  <c:v>Jade </c:v>
                </c:pt>
                <c:pt idx="13">
                  <c:v>Kélia </c:v>
                </c:pt>
                <c:pt idx="14">
                  <c:v>Kira</c:v>
                </c:pt>
                <c:pt idx="15">
                  <c:v>Lily B</c:v>
                </c:pt>
                <c:pt idx="16">
                  <c:v>Lily N</c:v>
                </c:pt>
                <c:pt idx="17">
                  <c:v>Loréana</c:v>
                </c:pt>
                <c:pt idx="18">
                  <c:v>Louane D</c:v>
                </c:pt>
                <c:pt idx="19">
                  <c:v>Louanne Dom</c:v>
                </c:pt>
                <c:pt idx="20">
                  <c:v>Lylou</c:v>
                </c:pt>
                <c:pt idx="21">
                  <c:v>Maëna</c:v>
                </c:pt>
                <c:pt idx="22">
                  <c:v>Malaury </c:v>
                </c:pt>
                <c:pt idx="23">
                  <c:v>Maylis</c:v>
                </c:pt>
                <c:pt idx="24">
                  <c:v>Méloée</c:v>
                </c:pt>
                <c:pt idx="25">
                  <c:v>Morgane</c:v>
                </c:pt>
                <c:pt idx="26">
                  <c:v>Romane </c:v>
                </c:pt>
                <c:pt idx="27">
                  <c:v>Shayna</c:v>
                </c:pt>
                <c:pt idx="28">
                  <c:v>Zoé</c:v>
                </c:pt>
                <c:pt idx="29">
                  <c:v>LOU </c:v>
                </c:pt>
              </c:strCache>
            </c:strRef>
          </c:cat>
          <c:val>
            <c:numRef>
              <c:f>Mai!$AN$2:$AN$21</c:f>
              <c:numCache>
                <c:formatCode>0.00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0-46BE-4CDB-8D90-3AA00426018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545384143"/>
        <c:axId val="1545384623"/>
      </c:barChart>
      <c:catAx>
        <c:axId val="154538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5384623"/>
        <c:crosses val="autoZero"/>
        <c:auto val="1"/>
        <c:lblAlgn val="ctr"/>
        <c:lblOffset val="100"/>
        <c:noMultiLvlLbl val="0"/>
      </c:catAx>
      <c:valAx>
        <c:axId val="1545384623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54538414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 0m 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2e Ligne  Danaé</c:v>
              </c:pt>
              <c:pt idx="1">
                <c:v>2e Ligne  Malaury</c:v>
              </c:pt>
            </c:strLit>
          </c:cat>
          <c: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64B-4D15-A122-6C6580203660}"/>
            </c:ext>
          </c:extLst>
        </c:ser>
        <c:ser>
          <c:idx val="1"/>
          <c:order val="1"/>
          <c:tx>
            <c:v> 25m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2e Ligne  Danaé</c:v>
              </c:pt>
              <c:pt idx="1">
                <c:v>2e Ligne  Malaury</c:v>
              </c:pt>
            </c:strLit>
          </c:cat>
          <c: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64B-4D15-A122-6C6580203660}"/>
            </c:ext>
          </c:extLst>
        </c:ser>
        <c:ser>
          <c:idx val="2"/>
          <c:order val="2"/>
          <c:tx>
            <c:v> 50m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2e Ligne  Danaé</c:v>
              </c:pt>
              <c:pt idx="1">
                <c:v>2e Ligne  Malaury</c:v>
              </c:pt>
            </c:strLit>
          </c:cat>
          <c: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264B-4D15-A122-6C6580203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1326800"/>
        <c:axId val="1141327760"/>
      </c:barChart>
      <c:catAx>
        <c:axId val="114132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41327760"/>
        <c:crosses val="autoZero"/>
        <c:auto val="1"/>
        <c:lblAlgn val="ctr"/>
        <c:lblOffset val="100"/>
        <c:noMultiLvlLbl val="0"/>
      </c:catAx>
      <c:valAx>
        <c:axId val="114132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4132680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32140</xdr:colOff>
      <xdr:row>0</xdr:row>
      <xdr:rowOff>0</xdr:rowOff>
    </xdr:from>
    <xdr:to>
      <xdr:col>39</xdr:col>
      <xdr:colOff>38128</xdr:colOff>
      <xdr:row>20</xdr:row>
      <xdr:rowOff>52726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4A8ADFC-B295-9BDF-6F65-7E87736B33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37171</xdr:colOff>
      <xdr:row>23</xdr:row>
      <xdr:rowOff>110066</xdr:rowOff>
    </xdr:from>
    <xdr:to>
      <xdr:col>39</xdr:col>
      <xdr:colOff>98533</xdr:colOff>
      <xdr:row>42</xdr:row>
      <xdr:rowOff>101673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F363FAA3-4850-4E2F-A118-7E9AF18BD8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711638</xdr:colOff>
      <xdr:row>78</xdr:row>
      <xdr:rowOff>162983</xdr:rowOff>
    </xdr:from>
    <xdr:to>
      <xdr:col>19</xdr:col>
      <xdr:colOff>388056</xdr:colOff>
      <xdr:row>115</xdr:row>
      <xdr:rowOff>116973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0C85481-1A47-4F36-9503-86FBAC7B7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32140</xdr:colOff>
      <xdr:row>0</xdr:row>
      <xdr:rowOff>0</xdr:rowOff>
    </xdr:from>
    <xdr:to>
      <xdr:col>44</xdr:col>
      <xdr:colOff>38128</xdr:colOff>
      <xdr:row>20</xdr:row>
      <xdr:rowOff>52726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225E47E-DACA-4526-901C-F7BC2E899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37171</xdr:colOff>
      <xdr:row>23</xdr:row>
      <xdr:rowOff>110066</xdr:rowOff>
    </xdr:from>
    <xdr:to>
      <xdr:col>44</xdr:col>
      <xdr:colOff>98533</xdr:colOff>
      <xdr:row>40</xdr:row>
      <xdr:rowOff>101673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A450342-1CBF-49EB-AB5F-BFE289B0A7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32140</xdr:colOff>
      <xdr:row>0</xdr:row>
      <xdr:rowOff>0</xdr:rowOff>
    </xdr:from>
    <xdr:to>
      <xdr:col>43</xdr:col>
      <xdr:colOff>38128</xdr:colOff>
      <xdr:row>20</xdr:row>
      <xdr:rowOff>52726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CCDA3B7-FC91-4534-B08A-1666B938A9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37171</xdr:colOff>
      <xdr:row>23</xdr:row>
      <xdr:rowOff>110066</xdr:rowOff>
    </xdr:from>
    <xdr:to>
      <xdr:col>42</xdr:col>
      <xdr:colOff>98533</xdr:colOff>
      <xdr:row>40</xdr:row>
      <xdr:rowOff>101673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0AA3956-DDDB-40F1-943D-CB6E00B0F3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32140</xdr:colOff>
      <xdr:row>0</xdr:row>
      <xdr:rowOff>0</xdr:rowOff>
    </xdr:from>
    <xdr:to>
      <xdr:col>23</xdr:col>
      <xdr:colOff>38128</xdr:colOff>
      <xdr:row>20</xdr:row>
      <xdr:rowOff>52726</xdr:rowOff>
    </xdr:to>
    <xdr:graphicFrame macro="">
      <xdr:nvGraphicFramePr>
        <xdr:cNvPr id="6" name="Graphique 1">
          <a:extLst>
            <a:ext uri="{FF2B5EF4-FFF2-40B4-BE49-F238E27FC236}">
              <a16:creationId xmlns:a16="http://schemas.microsoft.com/office/drawing/2014/main" id="{C4DBC559-5F5B-40A4-9457-0F268307FC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37171</xdr:colOff>
      <xdr:row>23</xdr:row>
      <xdr:rowOff>110066</xdr:rowOff>
    </xdr:from>
    <xdr:to>
      <xdr:col>22</xdr:col>
      <xdr:colOff>98533</xdr:colOff>
      <xdr:row>40</xdr:row>
      <xdr:rowOff>101673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18981A0-E770-4702-B3D9-B81CDC4F6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32140</xdr:colOff>
      <xdr:row>0</xdr:row>
      <xdr:rowOff>0</xdr:rowOff>
    </xdr:from>
    <xdr:to>
      <xdr:col>53</xdr:col>
      <xdr:colOff>38128</xdr:colOff>
      <xdr:row>16</xdr:row>
      <xdr:rowOff>52726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F97E9C9-831C-496D-B70E-611FFF1246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37171</xdr:colOff>
      <xdr:row>19</xdr:row>
      <xdr:rowOff>110066</xdr:rowOff>
    </xdr:from>
    <xdr:to>
      <xdr:col>52</xdr:col>
      <xdr:colOff>98533</xdr:colOff>
      <xdr:row>34</xdr:row>
      <xdr:rowOff>101673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72C8951-C132-4AB6-9649-CB2DF45A71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n Salcede" refreshedDate="45990.523930324074" createdVersion="6" refreshedVersion="6" minRefreshableVersion="3" recordCount="36" xr:uid="{8D4E9F46-1CDE-4847-AB33-D09DDDDF5EA1}">
  <cacheSource type="worksheet">
    <worksheetSource name="ListDatas5" sheet="grp travail proto"/>
  </cacheSource>
  <cacheFields count="32">
    <cacheField name="Nom " numFmtId="0">
      <sharedItems count="36">
        <s v="Alina"/>
        <s v="Amaia"/>
        <s v="Andréa"/>
        <s v="Annaelle "/>
        <s v="Augustine "/>
        <s v="Calliopée"/>
        <s v="Camille"/>
        <s v="Candice"/>
        <s v="Charlotte"/>
        <s v="Ciara"/>
        <s v="Clara"/>
        <s v="Danaé"/>
        <s v="Elyna"/>
        <s v="Emilie"/>
        <s v="Faustine"/>
        <s v="Ines"/>
        <s v="Ines R"/>
        <s v="Jade "/>
        <s v="Kélia "/>
        <s v="Kira"/>
        <s v="Lily B"/>
        <s v="Lily N"/>
        <s v="Loréana"/>
        <s v="Louane D"/>
        <s v="Louanne Dom"/>
        <s v="Lylou"/>
        <s v="Maëna"/>
        <s v="Malaury "/>
        <s v="Margaux"/>
        <s v="Mathilde"/>
        <s v="Maylis"/>
        <s v="Méloée"/>
        <s v="Morgane"/>
        <s v="Romane "/>
        <s v="Shayna"/>
        <s v="Zoé"/>
      </sharedItems>
    </cacheField>
    <cacheField name="Poste " numFmtId="0">
      <sharedItems containsBlank="1" count="8">
        <s v="1re Ligne "/>
        <s v="Demi-melée "/>
        <s v="3e Ligne "/>
        <s v="Centre"/>
        <s v="Ailier/arrière"/>
        <s v="2e Ligne "/>
        <m/>
        <s v="Demi-Ouverture"/>
      </sharedItems>
    </cacheField>
    <cacheField name="Dates (Mois)" numFmtId="0">
      <sharedItems/>
    </cacheField>
    <cacheField name="Taille (cm)" numFmtId="0">
      <sharedItems containsNonDate="0" containsString="0" containsBlank="1"/>
    </cacheField>
    <cacheField name="Poids (kg)" numFmtId="0">
      <sharedItems containsString="0" containsBlank="1" containsNumber="1" minValue="54.5" maxValue="89.2"/>
    </cacheField>
    <cacheField name="Poids (kg)2" numFmtId="0">
      <sharedItems containsString="0" containsBlank="1" containsNumber="1" minValue="54.1" maxValue="87.4"/>
    </cacheField>
    <cacheField name="Yo-yo level 1" numFmtId="0">
      <sharedItems containsString="0" containsBlank="1" containsNumber="1" containsInteger="1" minValue="360" maxValue="1480"/>
    </cacheField>
    <cacheField name="30-15 IFT" numFmtId="0">
      <sharedItems containsString="0" containsBlank="1" containsNumber="1" minValue="12.5" maxValue="18.5"/>
    </cacheField>
    <cacheField name="1RM DC (avant)" numFmtId="0">
      <sharedItems containsString="0" containsBlank="1" containsNumber="1" minValue="30" maxValue="55" count="13">
        <n v="37.5"/>
        <n v="52.5"/>
        <n v="45"/>
        <n v="50"/>
        <n v="35"/>
        <m/>
        <n v="30"/>
        <n v="42.5"/>
        <n v="40"/>
        <n v="32.5"/>
        <n v="55"/>
        <n v="43"/>
        <n v="38"/>
      </sharedItems>
    </cacheField>
    <cacheField name="1RM DC (après)" numFmtId="0">
      <sharedItems containsString="0" containsBlank="1" containsNumber="1" minValue="35" maxValue="60"/>
    </cacheField>
    <cacheField name="1RM TIRAGE (avant)" numFmtId="0">
      <sharedItems containsString="0" containsBlank="1" containsNumber="1" minValue="35" maxValue="60"/>
    </cacheField>
    <cacheField name="1RM TIRAGE (après)" numFmtId="0">
      <sharedItems containsString="0" containsBlank="1" containsNumber="1" minValue="42.5" maxValue="63"/>
    </cacheField>
    <cacheField name="1RM SDT (avant)" numFmtId="0">
      <sharedItems containsString="0" containsBlank="1" containsNumber="1" minValue="70" maxValue="110"/>
    </cacheField>
    <cacheField name="1RM SDT (après)" numFmtId="0">
      <sharedItems containsString="0" containsBlank="1" containsNumber="1" minValue="90" maxValue="145"/>
    </cacheField>
    <cacheField name="0m " numFmtId="0">
      <sharedItems containsSemiMixedTypes="0" containsString="0" containsNumber="1" containsInteger="1" minValue="0" maxValue="0"/>
    </cacheField>
    <cacheField name="10m (s) (avant)" numFmtId="0">
      <sharedItems containsString="0" containsBlank="1" containsNumber="1" minValue="1.71" maxValue="2.2999999999999998"/>
    </cacheField>
    <cacheField name="10m (s) (après)" numFmtId="0">
      <sharedItems containsString="0" containsBlank="1" containsNumber="1" minValue="1.77" maxValue="2.11"/>
    </cacheField>
    <cacheField name="20m (s) (avant)" numFmtId="0">
      <sharedItems containsString="0" containsBlank="1" containsNumber="1" minValue="3.1" maxValue="3.95"/>
    </cacheField>
    <cacheField name="20m (s) (après)" numFmtId="0">
      <sharedItems containsString="0" containsBlank="1" containsNumber="1" minValue="3.14" maxValue="3.75"/>
    </cacheField>
    <cacheField name="25m (s) (avant)" numFmtId="0">
      <sharedItems containsString="0" containsBlank="1" containsNumber="1" minValue="3.73" maxValue="4.88"/>
    </cacheField>
    <cacheField name="25m (s) (après)" numFmtId="0">
      <sharedItems containsString="0" containsBlank="1" containsNumber="1" minValue="3.8" maxValue="4.75"/>
    </cacheField>
    <cacheField name="50m (s) (avant)" numFmtId="0">
      <sharedItems containsString="0" containsBlank="1" containsNumber="1" minValue="6.94" maxValue="9.66"/>
    </cacheField>
    <cacheField name="50m (s) (après)" numFmtId="0">
      <sharedItems containsString="0" containsBlank="1" containsNumber="1" minValue="7.08" maxValue="8.7100000000000009"/>
    </cacheField>
    <cacheField name="m.s 10m" numFmtId="2">
      <sharedItems containsMixedTypes="1" containsNumber="1" minValue="4.3478260869565224" maxValue="5.8479532163742691"/>
    </cacheField>
    <cacheField name="KM/H 10m" numFmtId="2">
      <sharedItems containsMixedTypes="1" containsNumber="1" minValue="15.65217391304348" maxValue="21.05263157894737"/>
    </cacheField>
    <cacheField name="m.s 20m" numFmtId="2">
      <sharedItems containsMixedTypes="1" containsNumber="1" minValue="5.0632911392405058" maxValue="6.4516129032258061"/>
    </cacheField>
    <cacheField name="KM/H 20m" numFmtId="2">
      <sharedItems containsMixedTypes="1" containsNumber="1" minValue="18.22784810126582" maxValue="23.225806451612904"/>
    </cacheField>
    <cacheField name="m.s 25m" numFmtId="2">
      <sharedItems containsMixedTypes="1" containsNumber="1" minValue="5.1229508196721314" maxValue="6.7024128686327078"/>
    </cacheField>
    <cacheField name="KM/H 25m" numFmtId="2">
      <sharedItems containsMixedTypes="1" containsNumber="1" minValue="18.442622950819672" maxValue="24.128686327077748"/>
    </cacheField>
    <cacheField name="m.s 50m" numFmtId="0">
      <sharedItems containsMixedTypes="1" containsNumber="1" minValue="5.1759834368530022" maxValue="7.2046109510086449"/>
    </cacheField>
    <cacheField name="KM/H 50m" numFmtId="2">
      <sharedItems containsMixedTypes="1" containsNumber="1" minValue="18.633540372670808" maxValue="25.936599423631122"/>
    </cacheField>
    <cacheField name="BroadJump (cm)" numFmtId="0">
      <sharedItems containsString="0" containsBlank="1" containsNumber="1" containsInteger="1" minValue="153" maxValue="2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s v="Septembre "/>
    <m/>
    <n v="70.400000000000006"/>
    <n v="70.7"/>
    <n v="560"/>
    <n v="15"/>
    <x v="0"/>
    <n v="42.5"/>
    <n v="42.5"/>
    <n v="50"/>
    <n v="85"/>
    <n v="95"/>
    <n v="0"/>
    <n v="2.11"/>
    <n v="2.04"/>
    <n v="3.76"/>
    <n v="3.66"/>
    <n v="4.5999999999999996"/>
    <n v="4.4400000000000004"/>
    <n v="8.7799999999999994"/>
    <n v="8.41"/>
    <n v="4.7393364928909953"/>
    <n v="17.061611374407583"/>
    <n v="5.3191489361702127"/>
    <n v="19.148936170212767"/>
    <n v="5.4347826086956523"/>
    <n v="19.565217391304348"/>
    <n v="5.6947608200455582"/>
    <n v="20.501138952164009"/>
    <n v="170"/>
  </r>
  <r>
    <x v="1"/>
    <x v="1"/>
    <s v="Septembre "/>
    <m/>
    <n v="61.5"/>
    <n v="61.7"/>
    <n v="1480"/>
    <n v="17"/>
    <x v="0"/>
    <n v="45"/>
    <n v="47.5"/>
    <n v="50"/>
    <n v="75"/>
    <n v="125"/>
    <n v="0"/>
    <n v="1.97"/>
    <n v="1.82"/>
    <n v="3.43"/>
    <n v="3.26"/>
    <n v="4.28"/>
    <n v="3.92"/>
    <n v="7.74"/>
    <n v="7.27"/>
    <n v="5.0761421319796955"/>
    <n v="18.274111675126903"/>
    <n v="5.8309037900874632"/>
    <n v="20.991253644314867"/>
    <n v="5.8411214953271022"/>
    <n v="21.028037383177569"/>
    <n v="6.4599483204134369"/>
    <n v="23.255813953488374"/>
    <n v="193"/>
  </r>
  <r>
    <x v="2"/>
    <x v="0"/>
    <s v="Septembre "/>
    <m/>
    <n v="77.099999999999994"/>
    <n v="76"/>
    <n v="560"/>
    <m/>
    <x v="1"/>
    <n v="57.5"/>
    <m/>
    <m/>
    <m/>
    <m/>
    <n v="0"/>
    <n v="2.02"/>
    <m/>
    <n v="3.52"/>
    <m/>
    <n v="4.3"/>
    <m/>
    <n v="8.11"/>
    <m/>
    <n v="4.9504950495049505"/>
    <n v="17.821782178217823"/>
    <n v="5.6818181818181817"/>
    <n v="20.454545454545453"/>
    <n v="5.8139534883720936"/>
    <n v="20.930232558139537"/>
    <n v="6.1652281134401976"/>
    <n v="22.194821208384713"/>
    <n v="193"/>
  </r>
  <r>
    <x v="3"/>
    <x v="0"/>
    <s v="Septembre "/>
    <m/>
    <n v="89.2"/>
    <n v="87.4"/>
    <n v="440"/>
    <n v="13.5"/>
    <x v="2"/>
    <n v="50"/>
    <n v="60"/>
    <n v="60"/>
    <n v="95"/>
    <n v="125"/>
    <n v="0"/>
    <n v="2.23"/>
    <n v="2.11"/>
    <n v="3.9"/>
    <n v="3.7"/>
    <n v="4.88"/>
    <n v="4.5999999999999996"/>
    <n v="9.39"/>
    <n v="8.7100000000000009"/>
    <n v="4.4843049327354256"/>
    <n v="16.143497757847534"/>
    <n v="5.1282051282051286"/>
    <n v="18.461538461538463"/>
    <n v="5.1229508196721314"/>
    <n v="18.442622950819672"/>
    <n v="5.324813631522896"/>
    <n v="19.169329073482427"/>
    <n v="170"/>
  </r>
  <r>
    <x v="4"/>
    <x v="2"/>
    <s v="Septembre "/>
    <m/>
    <n v="64"/>
    <n v="64.099999999999994"/>
    <n v="1400"/>
    <n v="18.5"/>
    <x v="3"/>
    <n v="58"/>
    <n v="50"/>
    <n v="55"/>
    <n v="105"/>
    <n v="130"/>
    <n v="0"/>
    <n v="1.94"/>
    <n v="1.84"/>
    <n v="3.32"/>
    <n v="3.22"/>
    <n v="4.07"/>
    <n v="3.98"/>
    <n v="7.5"/>
    <n v="7.21"/>
    <n v="5.1546391752577323"/>
    <n v="18.556701030927837"/>
    <n v="6.024096385542169"/>
    <n v="21.68674698795181"/>
    <n v="6.142506142506142"/>
    <n v="22.113022113022112"/>
    <n v="6.666666666666667"/>
    <n v="24"/>
    <n v="202"/>
  </r>
  <r>
    <x v="5"/>
    <x v="2"/>
    <s v="Septembre "/>
    <m/>
    <n v="63.4"/>
    <n v="65"/>
    <m/>
    <n v="17.5"/>
    <x v="2"/>
    <n v="50"/>
    <n v="48"/>
    <n v="60"/>
    <n v="100"/>
    <n v="110"/>
    <n v="0"/>
    <n v="1.95"/>
    <n v="1.96"/>
    <n v="3.39"/>
    <n v="3.46"/>
    <n v="4.1100000000000003"/>
    <n v="4.24"/>
    <n v="7.71"/>
    <n v="7.9"/>
    <n v="5.1282051282051286"/>
    <n v="18.461538461538463"/>
    <n v="5.8997050147492622"/>
    <n v="21.238938053097346"/>
    <n v="6.0827250608272498"/>
    <n v="21.897810218978101"/>
    <n v="6.4850843060959793"/>
    <n v="23.346303501945528"/>
    <m/>
  </r>
  <r>
    <x v="6"/>
    <x v="0"/>
    <s v="Septembre "/>
    <m/>
    <n v="72.5"/>
    <m/>
    <n v="400"/>
    <n v="12.5"/>
    <x v="4"/>
    <m/>
    <n v="40"/>
    <m/>
    <n v="80"/>
    <m/>
    <n v="0"/>
    <m/>
    <m/>
    <m/>
    <m/>
    <m/>
    <m/>
    <m/>
    <m/>
    <e v="#DIV/0!"/>
    <e v="#DIV/0!"/>
    <e v="#DIV/0!"/>
    <e v="#DIV/0!"/>
    <e v="#DIV/0!"/>
    <e v="#DIV/0!"/>
    <e v="#DIV/0!"/>
    <e v="#DIV/0!"/>
    <m/>
  </r>
  <r>
    <x v="7"/>
    <x v="3"/>
    <s v="Septembre "/>
    <m/>
    <n v="65.5"/>
    <n v="66.099999999999994"/>
    <n v="560"/>
    <m/>
    <x v="5"/>
    <n v="35"/>
    <m/>
    <n v="42.5"/>
    <m/>
    <n v="90"/>
    <n v="0"/>
    <n v="1.99"/>
    <m/>
    <n v="3.53"/>
    <m/>
    <n v="4.1500000000000004"/>
    <m/>
    <n v="7.93"/>
    <m/>
    <n v="5.025125628140704"/>
    <n v="18.090452261306535"/>
    <n v="5.6657223796034"/>
    <n v="20.396600566572239"/>
    <n v="6.0240963855421681"/>
    <n v="21.686746987951807"/>
    <n v="6.3051702395964693"/>
    <n v="22.698612862547289"/>
    <n v="197"/>
  </r>
  <r>
    <x v="8"/>
    <x v="4"/>
    <s v="Septembre "/>
    <m/>
    <n v="59.3"/>
    <n v="59.6"/>
    <n v="1400"/>
    <n v="18.5"/>
    <x v="0"/>
    <n v="45"/>
    <n v="45"/>
    <n v="47.5"/>
    <n v="90"/>
    <n v="125"/>
    <n v="0"/>
    <n v="1.92"/>
    <n v="1.82"/>
    <n v="3.32"/>
    <n v="3.19"/>
    <m/>
    <n v="3.91"/>
    <m/>
    <n v="7.14"/>
    <n v="5.2083333333333339"/>
    <n v="18.750000000000004"/>
    <n v="6.024096385542169"/>
    <n v="21.68674698795181"/>
    <e v="#DIV/0!"/>
    <e v="#DIV/0!"/>
    <e v="#DIV/0!"/>
    <e v="#DIV/0!"/>
    <n v="187"/>
  </r>
  <r>
    <x v="9"/>
    <x v="2"/>
    <s v="Septembre "/>
    <m/>
    <n v="59"/>
    <n v="61"/>
    <n v="680"/>
    <n v="16"/>
    <x v="6"/>
    <n v="35"/>
    <n v="42.5"/>
    <n v="45"/>
    <n v="70"/>
    <n v="110"/>
    <n v="0"/>
    <n v="2.13"/>
    <n v="2"/>
    <n v="3.73"/>
    <n v="3.53"/>
    <n v="4.41"/>
    <n v="4.1900000000000004"/>
    <n v="8.49"/>
    <n v="7.8"/>
    <n v="4.694835680751174"/>
    <n v="16.901408450704228"/>
    <n v="5.3619302949061662"/>
    <n v="19.302949061662201"/>
    <n v="5.6689342403628116"/>
    <n v="20.408163265306122"/>
    <n v="5.8892815076560661"/>
    <n v="21.201413427561839"/>
    <n v="180"/>
  </r>
  <r>
    <x v="10"/>
    <x v="4"/>
    <s v="Septembre "/>
    <m/>
    <n v="65.900000000000006"/>
    <n v="68"/>
    <n v="960"/>
    <m/>
    <x v="0"/>
    <n v="42.5"/>
    <n v="37.5"/>
    <n v="50"/>
    <n v="70"/>
    <n v="90"/>
    <n v="0"/>
    <n v="1.71"/>
    <m/>
    <n v="3.1"/>
    <m/>
    <n v="3.73"/>
    <m/>
    <n v="6.94"/>
    <m/>
    <n v="5.8479532163742691"/>
    <n v="21.05263157894737"/>
    <n v="6.4516129032258061"/>
    <n v="23.225806451612904"/>
    <n v="6.7024128686327078"/>
    <n v="24.128686327077748"/>
    <n v="7.2046109510086449"/>
    <n v="25.936599423631122"/>
    <m/>
  </r>
  <r>
    <x v="11"/>
    <x v="5"/>
    <s v="Septembre "/>
    <m/>
    <m/>
    <n v="65"/>
    <m/>
    <n v="17"/>
    <x v="7"/>
    <n v="45"/>
    <n v="40"/>
    <n v="45"/>
    <n v="80"/>
    <m/>
    <n v="0"/>
    <n v="2.13"/>
    <m/>
    <n v="3.72"/>
    <m/>
    <n v="4.43"/>
    <m/>
    <n v="8.36"/>
    <m/>
    <n v="4.694835680751174"/>
    <n v="16.901408450704228"/>
    <n v="5.376344086021505"/>
    <n v="19.35483870967742"/>
    <n v="5.6433408577878108"/>
    <n v="20.316027088036119"/>
    <n v="5.9808612440191391"/>
    <n v="21.5311004784689"/>
    <n v="178"/>
  </r>
  <r>
    <x v="12"/>
    <x v="0"/>
    <s v="Septembre"/>
    <m/>
    <n v="80.099999999999994"/>
    <n v="79.5"/>
    <n v="560"/>
    <m/>
    <x v="5"/>
    <m/>
    <m/>
    <m/>
    <m/>
    <m/>
    <n v="0"/>
    <m/>
    <n v="1.98"/>
    <m/>
    <n v="3.54"/>
    <m/>
    <n v="4.2"/>
    <m/>
    <n v="8"/>
    <e v="#DIV/0!"/>
    <e v="#DIV/0!"/>
    <e v="#DIV/0!"/>
    <e v="#DIV/0!"/>
    <e v="#DIV/0!"/>
    <e v="#DIV/0!"/>
    <e v="#DIV/0!"/>
    <e v="#DIV/0!"/>
    <m/>
  </r>
  <r>
    <x v="13"/>
    <x v="2"/>
    <s v="Septembre "/>
    <m/>
    <n v="71.400000000000006"/>
    <n v="72.599999999999994"/>
    <n v="640"/>
    <n v="16.5"/>
    <x v="2"/>
    <n v="50"/>
    <n v="45"/>
    <n v="55"/>
    <n v="95"/>
    <n v="130"/>
    <n v="0"/>
    <n v="2.04"/>
    <n v="1.9"/>
    <n v="3.59"/>
    <n v="3.36"/>
    <n v="4.33"/>
    <n v="4.1500000000000004"/>
    <n v="8.09"/>
    <n v="7.71"/>
    <n v="4.9019607843137258"/>
    <n v="17.647058823529413"/>
    <n v="5.5710306406685239"/>
    <n v="20.055710306406688"/>
    <n v="5.7736720554272516"/>
    <n v="20.785219399538107"/>
    <n v="6.1804697156983934"/>
    <n v="22.249690976514216"/>
    <n v="187"/>
  </r>
  <r>
    <x v="14"/>
    <x v="2"/>
    <s v="Septembre "/>
    <m/>
    <n v="72.3"/>
    <n v="70"/>
    <n v="440"/>
    <n v="14"/>
    <x v="8"/>
    <n v="45"/>
    <n v="50"/>
    <n v="42.5"/>
    <n v="90"/>
    <n v="112.5"/>
    <n v="0"/>
    <n v="2.15"/>
    <n v="2.08"/>
    <n v="3.84"/>
    <n v="3.73"/>
    <n v="4.7300000000000004"/>
    <n v="4.5"/>
    <n v="9.18"/>
    <n v="8.49"/>
    <n v="4.6511627906976747"/>
    <n v="16.744186046511629"/>
    <n v="5.2083333333333339"/>
    <n v="18.750000000000004"/>
    <n v="5.2854122621564477"/>
    <n v="19.027484143763211"/>
    <n v="5.4466230936819171"/>
    <n v="19.607843137254903"/>
    <n v="180"/>
  </r>
  <r>
    <x v="15"/>
    <x v="5"/>
    <s v="Septembre "/>
    <m/>
    <n v="61.1"/>
    <n v="64"/>
    <m/>
    <n v="13"/>
    <x v="6"/>
    <m/>
    <n v="40"/>
    <m/>
    <n v="75"/>
    <m/>
    <n v="0"/>
    <n v="2.19"/>
    <m/>
    <n v="3.88"/>
    <m/>
    <n v="4.67"/>
    <m/>
    <n v="9.66"/>
    <m/>
    <n v="4.5662100456621006"/>
    <n v="16.438356164383563"/>
    <n v="5.1546391752577323"/>
    <n v="18.556701030927837"/>
    <n v="5.3533190578158463"/>
    <n v="19.271948608137048"/>
    <n v="5.1759834368530022"/>
    <n v="18.633540372670808"/>
    <n v="153"/>
  </r>
  <r>
    <x v="16"/>
    <x v="1"/>
    <s v="Septembre "/>
    <m/>
    <n v="54.55"/>
    <n v="54.1"/>
    <n v="1040"/>
    <n v="17"/>
    <x v="8"/>
    <n v="40"/>
    <n v="35"/>
    <n v="45"/>
    <n v="75"/>
    <n v="90"/>
    <n v="0"/>
    <n v="2.08"/>
    <n v="1.9"/>
    <n v="3.66"/>
    <n v="3.38"/>
    <n v="4.4400000000000004"/>
    <n v="4.1900000000000004"/>
    <n v="8.3800000000000008"/>
    <n v="7.86"/>
    <n v="4.8076923076923075"/>
    <n v="17.307692307692307"/>
    <n v="5.4644808743169397"/>
    <n v="19.672131147540984"/>
    <n v="5.6306306306306304"/>
    <n v="20.27027027027027"/>
    <n v="5.9665871121718368"/>
    <n v="21.479713603818613"/>
    <n v="196"/>
  </r>
  <r>
    <x v="17"/>
    <x v="2"/>
    <s v="Septembre "/>
    <m/>
    <n v="54.5"/>
    <n v="55"/>
    <n v="1000"/>
    <n v="15.5"/>
    <x v="9"/>
    <n v="35"/>
    <n v="40"/>
    <n v="55"/>
    <n v="75"/>
    <n v="100"/>
    <n v="0"/>
    <n v="2.19"/>
    <n v="2.0099999999999998"/>
    <n v="3.92"/>
    <n v="3.58"/>
    <n v="4.68"/>
    <n v="4.3"/>
    <n v="8.92"/>
    <n v="8.17"/>
    <n v="4.5662100456621006"/>
    <n v="16.438356164383563"/>
    <n v="5.1020408163265305"/>
    <n v="18.367346938775512"/>
    <n v="5.3418803418803424"/>
    <n v="19.230769230769234"/>
    <n v="5.6053811659192823"/>
    <n v="20.179372197309416"/>
    <n v="160"/>
  </r>
  <r>
    <x v="18"/>
    <x v="3"/>
    <s v="Septembre "/>
    <m/>
    <n v="60.2"/>
    <n v="59.6"/>
    <n v="960"/>
    <n v="16.5"/>
    <x v="9"/>
    <n v="35"/>
    <n v="35"/>
    <n v="42.5"/>
    <n v="70"/>
    <n v="100"/>
    <n v="0"/>
    <n v="1.91"/>
    <n v="1.77"/>
    <n v="3.32"/>
    <n v="3.14"/>
    <n v="3.97"/>
    <n v="3.82"/>
    <n v="7.38"/>
    <n v="7.08"/>
    <n v="5.2356020942408383"/>
    <n v="18.848167539267017"/>
    <n v="6.024096385542169"/>
    <n v="21.68674698795181"/>
    <n v="6.2972292191435768"/>
    <n v="22.670025188916878"/>
    <n v="6.7750677506775068"/>
    <n v="24.390243902439025"/>
    <n v="207"/>
  </r>
  <r>
    <x v="19"/>
    <x v="0"/>
    <s v="Septembre "/>
    <m/>
    <n v="83.7"/>
    <n v="83.9"/>
    <n v="560"/>
    <n v="15.5"/>
    <x v="3"/>
    <n v="60"/>
    <n v="55"/>
    <n v="55"/>
    <n v="70"/>
    <m/>
    <n v="0"/>
    <n v="2.2999999999999998"/>
    <m/>
    <n v="3.95"/>
    <m/>
    <n v="4.67"/>
    <m/>
    <n v="8.65"/>
    <m/>
    <n v="4.3478260869565224"/>
    <n v="15.65217391304348"/>
    <n v="5.0632911392405058"/>
    <n v="18.22784810126582"/>
    <n v="5.3533190578158463"/>
    <n v="19.271948608137048"/>
    <n v="5.7803468208092479"/>
    <n v="20.809248554913292"/>
    <n v="166"/>
  </r>
  <r>
    <x v="20"/>
    <x v="2"/>
    <s v="Septembre"/>
    <m/>
    <n v="59.4"/>
    <n v="62.6"/>
    <n v="1200"/>
    <n v="17.5"/>
    <x v="8"/>
    <n v="50"/>
    <n v="50"/>
    <n v="60"/>
    <n v="100"/>
    <n v="110"/>
    <n v="0"/>
    <n v="2"/>
    <n v="1.89"/>
    <n v="3.53"/>
    <n v="3.31"/>
    <n v="4.26"/>
    <n v="3.96"/>
    <n v="8.0399999999999991"/>
    <n v="7.28"/>
    <n v="5"/>
    <n v="18"/>
    <n v="5.6657223796034"/>
    <n v="20.396600566572239"/>
    <n v="5.868544600938967"/>
    <n v="21.12676056338028"/>
    <n v="6.2189054726368163"/>
    <n v="22.388059701492541"/>
    <n v="190"/>
  </r>
  <r>
    <x v="21"/>
    <x v="0"/>
    <s v="Septembre "/>
    <m/>
    <n v="68.3"/>
    <n v="67"/>
    <n v="760"/>
    <n v="16.5"/>
    <x v="2"/>
    <n v="50"/>
    <n v="50"/>
    <n v="42.5"/>
    <n v="92.5"/>
    <n v="100"/>
    <n v="0"/>
    <n v="2.0299999999999998"/>
    <n v="1.94"/>
    <n v="3.55"/>
    <n v="3.42"/>
    <n v="4.3499999999999996"/>
    <n v="4.2699999999999996"/>
    <n v="8.24"/>
    <n v="8.01"/>
    <n v="4.9261083743842367"/>
    <n v="17.733990147783253"/>
    <n v="5.6338028169014089"/>
    <n v="20.281690140845072"/>
    <n v="5.7471264367816097"/>
    <n v="20.689655172413797"/>
    <n v="6.0679611650485432"/>
    <n v="21.844660194174757"/>
    <n v="193"/>
  </r>
  <r>
    <x v="22"/>
    <x v="0"/>
    <s v="Septembre "/>
    <m/>
    <n v="81.3"/>
    <n v="84"/>
    <n v="440"/>
    <n v="13.5"/>
    <x v="2"/>
    <m/>
    <n v="55"/>
    <m/>
    <n v="95"/>
    <m/>
    <n v="0"/>
    <n v="2.04"/>
    <m/>
    <n v="3.59"/>
    <m/>
    <n v="4.38"/>
    <m/>
    <n v="8.18"/>
    <m/>
    <n v="4.9019607843137258"/>
    <n v="17.647058823529413"/>
    <n v="5.5710306406685239"/>
    <n v="20.055710306406688"/>
    <n v="5.7077625570776256"/>
    <n v="20.547945205479454"/>
    <n v="6.1124694376528117"/>
    <n v="22.004889975550121"/>
    <n v="180"/>
  </r>
  <r>
    <x v="23"/>
    <x v="4"/>
    <s v="Septembre "/>
    <m/>
    <n v="55.6"/>
    <n v="55.6"/>
    <m/>
    <m/>
    <x v="3"/>
    <n v="50"/>
    <n v="45"/>
    <n v="55"/>
    <n v="100"/>
    <n v="122.5"/>
    <n v="0"/>
    <n v="1.84"/>
    <n v="1.8"/>
    <n v="3.26"/>
    <n v="3.18"/>
    <n v="3.96"/>
    <n v="3.8"/>
    <n v="7.48"/>
    <n v="7.09"/>
    <n v="5.4347826086956523"/>
    <n v="19.565217391304348"/>
    <n v="6.1349693251533743"/>
    <n v="22.085889570552148"/>
    <n v="6.3131313131313131"/>
    <n v="22.727272727272727"/>
    <n v="6.6844919786096249"/>
    <n v="24.064171122994651"/>
    <n v="199"/>
  </r>
  <r>
    <x v="24"/>
    <x v="3"/>
    <s v="Septembre "/>
    <m/>
    <n v="69.2"/>
    <n v="70.3"/>
    <n v="760"/>
    <n v="15.5"/>
    <x v="10"/>
    <n v="60"/>
    <n v="55"/>
    <n v="55"/>
    <n v="90"/>
    <m/>
    <n v="0"/>
    <n v="2.08"/>
    <n v="1.91"/>
    <n v="3.59"/>
    <n v="3.37"/>
    <n v="4.3099999999999996"/>
    <n v="4.0999999999999996"/>
    <n v="7.98"/>
    <n v="7.48"/>
    <n v="4.8076923076923075"/>
    <n v="17.307692307692307"/>
    <n v="5.5710306406685239"/>
    <n v="20.055710306406688"/>
    <n v="5.8004640371229703"/>
    <n v="20.881670533642694"/>
    <n v="6.2656641604010019"/>
    <n v="22.556390977443609"/>
    <n v="200"/>
  </r>
  <r>
    <x v="25"/>
    <x v="5"/>
    <s v="Septembre "/>
    <m/>
    <n v="71.900000000000006"/>
    <n v="74.5"/>
    <n v="440"/>
    <n v="15.5"/>
    <x v="7"/>
    <n v="45"/>
    <n v="49"/>
    <n v="55"/>
    <n v="80"/>
    <n v="110"/>
    <n v="0"/>
    <n v="2.0499999999999998"/>
    <n v="1.96"/>
    <n v="3.68"/>
    <n v="3.5"/>
    <n v="4.41"/>
    <n v="4.34"/>
    <n v="8.5"/>
    <n v="8.1"/>
    <n v="4.8780487804878057"/>
    <n v="17.560975609756103"/>
    <n v="5.4347826086956523"/>
    <n v="19.565217391304348"/>
    <n v="5.6689342403628116"/>
    <n v="20.408163265306122"/>
    <n v="5.882352941176471"/>
    <n v="21.176470588235297"/>
    <n v="185"/>
  </r>
  <r>
    <x v="26"/>
    <x v="4"/>
    <s v="Septembre "/>
    <m/>
    <n v="60.1"/>
    <m/>
    <n v="880"/>
    <n v="15.5"/>
    <x v="0"/>
    <m/>
    <n v="50"/>
    <m/>
    <n v="80"/>
    <m/>
    <n v="0"/>
    <n v="1.92"/>
    <m/>
    <n v="3.3"/>
    <m/>
    <n v="3.99"/>
    <m/>
    <n v="7.36"/>
    <m/>
    <n v="5.2083333333333339"/>
    <n v="18.750000000000004"/>
    <n v="6.0606060606060606"/>
    <n v="21.81818181818182"/>
    <n v="6.2656641604010019"/>
    <n v="22.556390977443609"/>
    <n v="6.7934782608695645"/>
    <n v="24.456521739130434"/>
    <n v="203"/>
  </r>
  <r>
    <x v="27"/>
    <x v="2"/>
    <s v="Septembre "/>
    <m/>
    <n v="64.7"/>
    <n v="63.3"/>
    <n v="1040"/>
    <n v="16.5"/>
    <x v="11"/>
    <n v="50"/>
    <n v="50"/>
    <n v="50"/>
    <n v="85"/>
    <n v="105"/>
    <n v="0"/>
    <n v="2.02"/>
    <n v="1.96"/>
    <n v="3.52"/>
    <n v="3.47"/>
    <n v="4.41"/>
    <n v="4.3"/>
    <n v="8.4700000000000006"/>
    <n v="8.07"/>
    <n v="4.9504950495049505"/>
    <n v="17.821782178217823"/>
    <n v="5.6818181818181817"/>
    <n v="20.454545454545453"/>
    <n v="5.6689342403628116"/>
    <n v="20.408163265306122"/>
    <n v="5.9031877213695392"/>
    <n v="21.251475796930343"/>
    <n v="183"/>
  </r>
  <r>
    <x v="28"/>
    <x v="3"/>
    <s v="Septembre "/>
    <m/>
    <n v="69.900000000000006"/>
    <n v="70"/>
    <n v="560"/>
    <m/>
    <x v="7"/>
    <m/>
    <n v="52.5"/>
    <m/>
    <n v="100"/>
    <m/>
    <n v="0"/>
    <n v="1.94"/>
    <n v="1.78"/>
    <n v="3.39"/>
    <n v="3.17"/>
    <n v="4.07"/>
    <n v="4"/>
    <n v="7.62"/>
    <n v="7.4"/>
    <n v="5.1546391752577323"/>
    <n v="18.556701030927837"/>
    <n v="5.8997050147492622"/>
    <n v="21.238938053097346"/>
    <n v="6.142506142506142"/>
    <n v="22.113022113022112"/>
    <n v="6.5616797900262469"/>
    <n v="23.622047244094489"/>
    <n v="202"/>
  </r>
  <r>
    <x v="29"/>
    <x v="6"/>
    <s v="Septembre"/>
    <m/>
    <n v="74.3"/>
    <n v="78.900000000000006"/>
    <n v="360"/>
    <m/>
    <x v="5"/>
    <m/>
    <m/>
    <m/>
    <m/>
    <m/>
    <n v="0"/>
    <m/>
    <m/>
    <m/>
    <m/>
    <m/>
    <m/>
    <m/>
    <m/>
    <e v="#DIV/0!"/>
    <e v="#DIV/0!"/>
    <e v="#DIV/0!"/>
    <e v="#DIV/0!"/>
    <e v="#DIV/0!"/>
    <e v="#DIV/0!"/>
    <e v="#DIV/0!"/>
    <e v="#DIV/0!"/>
    <m/>
  </r>
  <r>
    <x v="30"/>
    <x v="4"/>
    <s v="Septembre "/>
    <m/>
    <n v="54.9"/>
    <n v="56.4"/>
    <n v="1040"/>
    <n v="17"/>
    <x v="0"/>
    <n v="42.5"/>
    <n v="49"/>
    <n v="52.5"/>
    <n v="80"/>
    <n v="110"/>
    <n v="0"/>
    <n v="1.97"/>
    <n v="1.88"/>
    <n v="3.47"/>
    <n v="3.39"/>
    <n v="4.28"/>
    <n v="3.95"/>
    <n v="8.02"/>
    <n v="7.39"/>
    <n v="5.0761421319796955"/>
    <n v="18.274111675126903"/>
    <n v="5.7636887608069163"/>
    <n v="20.749279538904901"/>
    <n v="5.8411214953271022"/>
    <n v="21.028037383177569"/>
    <n v="6.2344139650872821"/>
    <n v="22.443890274314217"/>
    <n v="175"/>
  </r>
  <r>
    <x v="31"/>
    <x v="7"/>
    <s v="Septembre "/>
    <m/>
    <n v="65.400000000000006"/>
    <n v="67.400000000000006"/>
    <n v="760"/>
    <n v="16.5"/>
    <x v="10"/>
    <n v="60"/>
    <n v="55"/>
    <n v="63"/>
    <n v="110"/>
    <n v="135"/>
    <n v="0"/>
    <n v="1.99"/>
    <n v="1.87"/>
    <n v="3.43"/>
    <n v="3.27"/>
    <n v="4.12"/>
    <n v="4.01"/>
    <n v="7.61"/>
    <n v="7.34"/>
    <n v="5.025125628140704"/>
    <n v="18.090452261306535"/>
    <n v="5.8309037900874632"/>
    <n v="20.991253644314867"/>
    <n v="6.0679611650485432"/>
    <n v="21.844660194174757"/>
    <n v="6.5703022339027592"/>
    <n v="23.653088042049934"/>
    <n v="192"/>
  </r>
  <r>
    <x v="32"/>
    <x v="4"/>
    <s v="Septembre "/>
    <m/>
    <n v="65.099999999999994"/>
    <n v="64.599999999999994"/>
    <n v="1080"/>
    <n v="17"/>
    <x v="4"/>
    <n v="47.5"/>
    <n v="55"/>
    <n v="62.5"/>
    <n v="90"/>
    <n v="145"/>
    <n v="0"/>
    <n v="1.95"/>
    <n v="1.83"/>
    <n v="3.37"/>
    <n v="3.24"/>
    <n v="4.0999999999999996"/>
    <n v="3.96"/>
    <n v="7.69"/>
    <n v="7.38"/>
    <n v="5.1282051282051286"/>
    <n v="18.461538461538463"/>
    <n v="5.9347181008902075"/>
    <n v="21.364985163204746"/>
    <n v="6.0975609756097562"/>
    <n v="21.951219512195124"/>
    <n v="6.5019505851755524"/>
    <n v="23.407022106631988"/>
    <n v="192"/>
  </r>
  <r>
    <x v="33"/>
    <x v="7"/>
    <s v="Septembre "/>
    <m/>
    <n v="58.1"/>
    <n v="59.4"/>
    <n v="720"/>
    <n v="15.5"/>
    <x v="4"/>
    <n v="42.5"/>
    <n v="42.5"/>
    <n v="50"/>
    <n v="75"/>
    <n v="110"/>
    <n v="0"/>
    <n v="1.99"/>
    <n v="1.83"/>
    <n v="3.52"/>
    <n v="3.26"/>
    <n v="4.22"/>
    <n v="3.97"/>
    <n v="8.0299999999999994"/>
    <n v="7.37"/>
    <n v="5.025125628140704"/>
    <n v="18.090452261306535"/>
    <n v="5.6818181818181817"/>
    <n v="20.454545454545453"/>
    <n v="5.9241706161137442"/>
    <n v="21.327014218009481"/>
    <n v="6.2266500622665015"/>
    <n v="22.415940224159407"/>
    <n v="189"/>
  </r>
  <r>
    <x v="34"/>
    <x v="2"/>
    <s v="Septembre "/>
    <m/>
    <n v="66.3"/>
    <n v="66.2"/>
    <n v="640"/>
    <n v="14"/>
    <x v="12"/>
    <n v="40"/>
    <n v="38.5"/>
    <n v="50"/>
    <n v="80"/>
    <n v="110"/>
    <n v="0"/>
    <n v="2.19"/>
    <n v="2.06"/>
    <n v="3.88"/>
    <n v="3.75"/>
    <m/>
    <n v="4.75"/>
    <m/>
    <n v="8.5"/>
    <n v="4.5662100456621006"/>
    <n v="16.438356164383563"/>
    <n v="5.1546391752577323"/>
    <n v="18.556701030927837"/>
    <e v="#DIV/0!"/>
    <e v="#DIV/0!"/>
    <e v="#DIV/0!"/>
    <e v="#DIV/0!"/>
    <n v="164"/>
  </r>
  <r>
    <x v="35"/>
    <x v="5"/>
    <s v="Septembre "/>
    <m/>
    <n v="63.9"/>
    <n v="63.7"/>
    <n v="920"/>
    <n v="17"/>
    <x v="3"/>
    <n v="55"/>
    <n v="40"/>
    <n v="60"/>
    <n v="100"/>
    <n v="125"/>
    <n v="0"/>
    <n v="2.0699999999999998"/>
    <n v="1.89"/>
    <n v="3.65"/>
    <n v="3.37"/>
    <n v="4.55"/>
    <n v="4.21"/>
    <n v="8.64"/>
    <n v="7.93"/>
    <n v="4.8309178743961354"/>
    <n v="17.39130434782609"/>
    <n v="5.4794520547945202"/>
    <n v="19.726027397260275"/>
    <n v="5.4945054945054945"/>
    <n v="19.780219780219781"/>
    <n v="5.7870370370370363"/>
    <n v="20.833333333333332"/>
    <n v="1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41AF3D-E998-4EC5-9CEA-D556834E5E83}" name="Tableau croisé dynamique2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1">
  <location ref="F40:N48" firstHeaderRow="0" firstDataRow="1" firstDataCol="1"/>
  <pivotFields count="32">
    <pivotField axis="axisRow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axis="axisRow" showAll="0">
      <items count="9">
        <item h="1" x="0"/>
        <item h="1" x="5"/>
        <item h="1" x="2"/>
        <item x="4"/>
        <item h="1" x="3"/>
        <item h="1" x="1"/>
        <item h="1" x="7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4">
        <item x="6"/>
        <item x="9"/>
        <item x="4"/>
        <item x="0"/>
        <item x="12"/>
        <item x="8"/>
        <item x="7"/>
        <item x="11"/>
        <item x="2"/>
        <item x="3"/>
        <item x="1"/>
        <item x="1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0"/>
  </rowFields>
  <rowItems count="8">
    <i>
      <x v="3"/>
    </i>
    <i r="1">
      <x v="8"/>
    </i>
    <i r="1">
      <x v="10"/>
    </i>
    <i r="1">
      <x v="23"/>
    </i>
    <i r="1">
      <x v="26"/>
    </i>
    <i r="1">
      <x v="30"/>
    </i>
    <i r="1">
      <x v="32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10m (s) (avant" fld="15" baseField="0" baseItem="0"/>
    <dataField name="10m (s) (après" fld="16" baseField="0" baseItem="0"/>
    <dataField name="20m (s) (avant" fld="17" baseField="0" baseItem="0"/>
    <dataField name="20m (s) (après" fld="18" baseField="0" baseItem="0"/>
    <dataField name="25m (s) (avant" fld="19" baseField="0" baseItem="0"/>
    <dataField name="25m (s) (après" fld="20" baseField="0" baseItem="0"/>
    <dataField name="50m (s) (avant" fld="21" baseField="0" baseItem="0"/>
    <dataField name="50m (s) (après" fld="22" baseField="0" baseItem="0"/>
  </dataFields>
  <chartFormats count="8">
    <chartFormat chart="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23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24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25" series="1">
      <pivotArea type="data" outline="0" fieldPosition="0">
        <references count="1">
          <reference field="429496729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306A40-F64D-4ADE-8797-102F56DF1021}" name="ListDatas" displayName="ListDatas" ref="A1:X37" totalsRowShown="0" headerRowDxfId="169" dataDxfId="168">
  <autoFilter ref="A1:X37" xr:uid="{8C306A40-F64D-4ADE-8797-102F56DF1021}"/>
  <sortState xmlns:xlrd2="http://schemas.microsoft.com/office/spreadsheetml/2017/richdata2" ref="A2:X37">
    <sortCondition ref="A1:A37"/>
  </sortState>
  <tableColumns count="24">
    <tableColumn id="1" xr3:uid="{A7D14150-1448-4EE4-9FFF-36B130231767}" name="Nom " dataDxfId="167"/>
    <tableColumn id="2" xr3:uid="{D46CDF9A-DA77-4B8E-90D6-15FBA5B8C19C}" name="Poste " dataDxfId="166"/>
    <tableColumn id="11" xr3:uid="{4A8F4498-3864-4453-A13D-6B8DC6351E11}" name="Dates (Mois)" dataDxfId="165"/>
    <tableColumn id="17" xr3:uid="{65179B74-384E-46E0-8934-0C0BFA56F6F0}" name="Taille (cm)" dataDxfId="164"/>
    <tableColumn id="12" xr3:uid="{D9F65691-353C-429E-9D21-28E729987BE6}" name="Poids (kg)" dataDxfId="163"/>
    <tableColumn id="7" xr3:uid="{14AD0C4E-9874-49A3-8D19-1B34FB6EEC88}" name="Yo-yo level 1" dataDxfId="162"/>
    <tableColumn id="3" xr3:uid="{16D4706B-0039-4043-AC42-A04E94D33638}" name="30-15 IFT" dataDxfId="161"/>
    <tableColumn id="5" xr3:uid="{152919A1-BDDE-4A8B-8C11-EE9EA6416086}" name="1RM DC" dataDxfId="160"/>
    <tableColumn id="6" xr3:uid="{6B1DF315-9E1E-4570-A115-E848575AE1A6}" name="1RM TIRAGE" dataDxfId="159"/>
    <tableColumn id="4" xr3:uid="{11E126E8-317C-44F0-9B84-243C88A815D1}" name="1RM SDT" dataDxfId="158"/>
    <tableColumn id="24" xr3:uid="{8576A4BD-0338-420D-BBB1-A05C10998EEE}" name="0m " dataDxfId="157"/>
    <tableColumn id="8" xr3:uid="{A9935424-EBB4-44A6-9930-BCB91C7075E7}" name="10m (s)" dataDxfId="156"/>
    <tableColumn id="19" xr3:uid="{3C9BF89E-9CD8-42E2-BC2E-14980F24B8EE}" name="20m (s)" dataDxfId="155"/>
    <tableColumn id="9" xr3:uid="{EBC27623-D052-49D7-9083-DE8E8DCA1F3F}" name="25m (s)" dataDxfId="154"/>
    <tableColumn id="10" xr3:uid="{197CEC71-7959-492D-8E61-008DB32BDA66}" name="50m (s)" dataDxfId="153"/>
    <tableColumn id="23" xr3:uid="{44A37A4B-B705-4346-BD0E-1B6A7F070E04}" name="m.s 10m" dataDxfId="152">
      <calculatedColumnFormula>10/ListDatas[[#This Row],[10m (s)]]</calculatedColumnFormula>
    </tableColumn>
    <tableColumn id="13" xr3:uid="{6D6479C7-CC77-44F6-9595-6A6D3BA36AFA}" name="KM/H 10m" dataDxfId="151">
      <calculatedColumnFormula>ListDatas[[#This Row],[m.s 10m]]*3.6</calculatedColumnFormula>
    </tableColumn>
    <tableColumn id="22" xr3:uid="{87C66571-0D4F-47A9-97A4-BF610DAF0431}" name="m.s 20m" dataDxfId="150">
      <calculatedColumnFormula>20/ListDatas[[#This Row],[20m (s)]]</calculatedColumnFormula>
    </tableColumn>
    <tableColumn id="14" xr3:uid="{DE0177A1-E8FA-4455-9C47-080AB32A33DC}" name="KM/H 20m" dataDxfId="149">
      <calculatedColumnFormula>ListDatas[[#This Row],[m.s 20m]]*3.6</calculatedColumnFormula>
    </tableColumn>
    <tableColumn id="21" xr3:uid="{D1D3425D-799A-4A29-8815-0DDAA6662D50}" name="m.s 25m" dataDxfId="148">
      <calculatedColumnFormula>25/ListDatas[[#This Row],[25m (s)]]</calculatedColumnFormula>
    </tableColumn>
    <tableColumn id="18" xr3:uid="{53292058-C16D-42DD-B24D-0BC27AD2038E}" name="KM/H 25m" dataDxfId="147">
      <calculatedColumnFormula>ListDatas[[#This Row],[m.s 25m]]*3.6</calculatedColumnFormula>
    </tableColumn>
    <tableColumn id="20" xr3:uid="{371F9004-965A-427E-A49A-F73F11274679}" name="m.s 50m" dataDxfId="146">
      <calculatedColumnFormula>50/ListDatas[[#This Row],[50m (s)]]</calculatedColumnFormula>
    </tableColumn>
    <tableColumn id="25" xr3:uid="{478151D0-5518-4121-A5BA-524FB6C6954B}" name="KM/H 50m" dataDxfId="145">
      <calculatedColumnFormula>ListDatas[[#This Row],[m.s 50m]]*3.6</calculatedColumnFormula>
    </tableColumn>
    <tableColumn id="16" xr3:uid="{D187A164-CC1D-4E56-8C33-82CC88519F01}" name="BroadJump (cm)" dataDxfId="14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7E1040-E3CE-4195-B3DA-EB2BB023C704}" name="ListDatas5" displayName="ListDatas5" ref="A1:AF37" totalsRowShown="0" headerRowDxfId="143" dataDxfId="142">
  <autoFilter ref="A1:AF37" xr:uid="{103667BB-344C-4A15-BA04-73098CFD9635}">
    <filterColumn colId="0">
      <filters>
        <filter val="Amaia"/>
        <filter val="Augustine"/>
        <filter val="Charlotte"/>
        <filter val="Kira"/>
        <filter val="Loréana"/>
        <filter val="Romane"/>
      </filters>
    </filterColumn>
  </autoFilter>
  <sortState xmlns:xlrd2="http://schemas.microsoft.com/office/spreadsheetml/2017/richdata2" ref="A2:AF37">
    <sortCondition ref="A1:A37"/>
  </sortState>
  <tableColumns count="32">
    <tableColumn id="1" xr3:uid="{0749BD72-DAA4-441F-B330-97B50DC2D628}" name="Nom " dataDxfId="141"/>
    <tableColumn id="2" xr3:uid="{15E71A16-2676-4275-9C13-568EBB5E1990}" name="Poste " dataDxfId="140"/>
    <tableColumn id="11" xr3:uid="{C415CF68-1201-4EB8-8661-D762B4F625A0}" name="Dates (Mois)" dataDxfId="139"/>
    <tableColumn id="17" xr3:uid="{87C1C5FA-EE28-4E78-97BB-30A0207B2417}" name="Taille (cm)" dataDxfId="138"/>
    <tableColumn id="12" xr3:uid="{C45F8156-3CDF-440E-A083-856131B1ADE4}" name="Poids (kg)" dataDxfId="137"/>
    <tableColumn id="15" xr3:uid="{BB64E7C5-D698-43B0-A4C4-5447906D822C}" name="Poids (kg)2" dataDxfId="136"/>
    <tableColumn id="7" xr3:uid="{69612D09-28B1-4DE1-B46A-14C1D326A00E}" name="Yo-yo level 1" dataDxfId="135"/>
    <tableColumn id="3" xr3:uid="{0C33290B-F6DF-408B-8AF5-FEAD7442EFED}" name="30-15 IFT" dataDxfId="134"/>
    <tableColumn id="5" xr3:uid="{EC842BB0-F6EA-4C4C-9FFE-DFBC10D5B2C7}" name="1RM DC (avant)" dataDxfId="133"/>
    <tableColumn id="26" xr3:uid="{F6C9FF91-3ED6-44D3-9FBA-F842461EDA8D}" name="1RM DC (après)" dataDxfId="132"/>
    <tableColumn id="6" xr3:uid="{4C31419C-668C-4E08-B91E-17868AE07201}" name="1RM TIRAGE (avant)" dataDxfId="131"/>
    <tableColumn id="27" xr3:uid="{F9C67FA5-EE8C-4B29-AB65-BD743BC2652D}" name="1RM TIRAGE (après)" dataDxfId="130"/>
    <tableColumn id="4" xr3:uid="{2977FBB9-81BF-4AD8-8CC3-0498D8F7D89B}" name="1RM SDT (avant)" dataDxfId="129"/>
    <tableColumn id="28" xr3:uid="{0C5DC829-EA8B-454B-99FE-8A16C2C421DB}" name="1RM SDT (après)" dataDxfId="128"/>
    <tableColumn id="24" xr3:uid="{282F1BE7-0161-4EC1-BF4C-31F694C1E6A7}" name="0m " dataDxfId="127"/>
    <tableColumn id="8" xr3:uid="{96E842D5-7F84-46D6-BEB4-F7F950853EE4}" name="10m (s) (avant)" dataDxfId="126"/>
    <tableColumn id="29" xr3:uid="{0247F6D9-F5AB-4322-A3D7-7D270218B9E6}" name="10m (s) (après)" dataDxfId="125"/>
    <tableColumn id="19" xr3:uid="{FF71F5E7-109D-4F4E-A169-474C8006CBC0}" name="20m (s) (avant)" dataDxfId="124"/>
    <tableColumn id="30" xr3:uid="{A40DA46C-7344-4A2C-A083-8FE1AC52D781}" name="20m (s) (après)" dataDxfId="123"/>
    <tableColumn id="9" xr3:uid="{90135817-13E9-4C74-8F14-8C6095E007CB}" name="25m (s) (avant)" dataDxfId="122"/>
    <tableColumn id="31" xr3:uid="{82FAD9E8-3A25-4876-9AD4-EB24F6180516}" name="25m (s) (après)" dataDxfId="121"/>
    <tableColumn id="10" xr3:uid="{2BEF6EDF-0BF9-4FF1-9B5E-934EC8D08397}" name="50m (s) (avant)" dataDxfId="120"/>
    <tableColumn id="32" xr3:uid="{80824C8D-22DB-4585-9B7C-847FF98A9048}" name="50m (s) (après)" dataDxfId="119"/>
    <tableColumn id="23" xr3:uid="{E536AF38-EF5B-41CC-8262-DD4435A36EF6}" name="m.s 10m" dataDxfId="118">
      <calculatedColumnFormula>10/ListDatas5[[#This Row],[10m (s) (avant)]]</calculatedColumnFormula>
    </tableColumn>
    <tableColumn id="13" xr3:uid="{57E70C6B-4E4A-4DD8-A763-8678853BA4C0}" name="KM/H 10m" dataDxfId="117">
      <calculatedColumnFormula>ListDatas5[[#This Row],[m.s 10m]]*3.6</calculatedColumnFormula>
    </tableColumn>
    <tableColumn id="22" xr3:uid="{1FB32AAE-000E-4082-BEE5-7E917F671D1A}" name="m.s 20m" dataDxfId="116">
      <calculatedColumnFormula>20/ListDatas5[[#This Row],[20m (s) (avant)]]</calculatedColumnFormula>
    </tableColumn>
    <tableColumn id="14" xr3:uid="{9143462D-A41D-46C9-9A39-A511516FE9FF}" name="KM/H 20m" dataDxfId="115">
      <calculatedColumnFormula>ListDatas5[[#This Row],[m.s 20m]]*3.6</calculatedColumnFormula>
    </tableColumn>
    <tableColumn id="21" xr3:uid="{00639F6A-8AA4-45B3-85C2-6EC426BC71BB}" name="m.s 25m" dataDxfId="114">
      <calculatedColumnFormula>25/ListDatas5[[#This Row],[25m (s) (avant)]]</calculatedColumnFormula>
    </tableColumn>
    <tableColumn id="18" xr3:uid="{A3DF9656-295F-47D3-988F-9EF481284434}" name="KM/H 25m" dataDxfId="113">
      <calculatedColumnFormula>ListDatas5[[#This Row],[m.s 25m]]*3.6</calculatedColumnFormula>
    </tableColumn>
    <tableColumn id="20" xr3:uid="{DC294B31-AEA2-4A27-BA0D-B7203854409A}" name="m.s 50m" dataDxfId="112">
      <calculatedColumnFormula>50/ListDatas5[[#This Row],[50m (s) (avant)]]</calculatedColumnFormula>
    </tableColumn>
    <tableColumn id="25" xr3:uid="{B7C7D73A-7761-487A-923A-4CAFB66A029A}" name="KM/H 50m" dataDxfId="111">
      <calculatedColumnFormula>ListDatas5[[#This Row],[m.s 50m]]*3.6</calculatedColumnFormula>
    </tableColumn>
    <tableColumn id="16" xr3:uid="{0CFD4067-D63F-40A1-B2EB-3BE0D4C4645D}" name="BroadJump (cm)" dataDxfId="1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F0A3D0-56CD-4C89-A24E-8D77E2D9FFFC}" name="ListDatas3" displayName="ListDatas3" ref="A1:AC36" totalsRowShown="0" headerRowDxfId="109" dataDxfId="108">
  <autoFilter ref="A1:AC36" xr:uid="{8C306A40-F64D-4ADE-8797-102F56DF1021}"/>
  <sortState xmlns:xlrd2="http://schemas.microsoft.com/office/spreadsheetml/2017/richdata2" ref="A2:AC36">
    <sortCondition ref="A1:A36"/>
  </sortState>
  <tableColumns count="29">
    <tableColumn id="1" xr3:uid="{0832C36C-C535-4553-9351-1D3D98A4F359}" name="Nom " dataDxfId="107"/>
    <tableColumn id="2" xr3:uid="{C12C54EF-2B96-4558-82B3-572104C61D3A}" name="Poste " dataDxfId="106"/>
    <tableColumn id="11" xr3:uid="{71620A78-29C6-4DD1-A687-57421133A7F9}" name="Dates (Mois)" dataDxfId="105"/>
    <tableColumn id="17" xr3:uid="{C9D3D14F-47A2-4944-8710-92E72387CEB2}" name="Taille (cm)" dataDxfId="104"/>
    <tableColumn id="12" xr3:uid="{10071414-226D-4090-936B-221E3C30B4E1}" name="Poids (kg)" dataDxfId="103"/>
    <tableColumn id="7" xr3:uid="{8F069E61-0B49-43AE-AA44-8F5E9FB126D9}" name="Yo-yo level 1" dataDxfId="102"/>
    <tableColumn id="27" xr3:uid="{12FD0FF7-F276-40CE-885F-EFEA5169AAA8}" name="Flexion" dataDxfId="101"/>
    <tableColumn id="15" xr3:uid="{BF5EDEAF-6304-4F13-91A6-DD41292AAD70}" name="Extension" dataDxfId="100"/>
    <tableColumn id="29" xr3:uid="{497F61C3-37E3-43EB-A2B4-AF35087D71CF}" name="Ratio Ext/Flé" dataDxfId="99">
      <calculatedColumnFormula>ListDatas3[[#This Row],[Flexion]]/ListDatas3[[#This Row],[Extension]]</calculatedColumnFormula>
    </tableColumn>
    <tableColumn id="28" xr3:uid="{1E4CDD93-EC1F-467E-8BC1-8D9AA6C840D4}" name="Norme" dataDxfId="98">
      <calculatedColumnFormula>(ListDatas3[[#This Row],[Extension]]/ListDatas3[[#This Row],[Poids (kg)]])*100</calculatedColumnFormula>
    </tableColumn>
    <tableColumn id="3" xr3:uid="{542FE137-B72C-4318-B779-6E89D0130475}" name="30-15 IFT" dataDxfId="97"/>
    <tableColumn id="5" xr3:uid="{D219886F-3C6A-4202-8AEE-3EC0512938F0}" name="1RM DC" dataDxfId="96"/>
    <tableColumn id="6" xr3:uid="{CF194F53-D754-4C51-903C-34AACE0764BC}" name="1RM TIRAGE" dataDxfId="95"/>
    <tableColumn id="4" xr3:uid="{F4A24B26-02DE-439C-9B17-A5FB6368ABE4}" name="1RM SDT" dataDxfId="94"/>
    <tableColumn id="26" xr3:uid="{C0F37D01-D1D8-4C11-9709-61FBEEF0557C}" name="1RM HIP THRUST" dataDxfId="93"/>
    <tableColumn id="24" xr3:uid="{E0412BF7-0756-49E3-93A9-0F61E22FA3F0}" name="0m " dataDxfId="92"/>
    <tableColumn id="8" xr3:uid="{CA6141EA-DBCB-4D21-A656-C8B44094F626}" name="10m (s)" dataDxfId="91"/>
    <tableColumn id="19" xr3:uid="{49EF836E-EFF6-4CAB-9612-73755FF938A8}" name="20m (s)" dataDxfId="90"/>
    <tableColumn id="9" xr3:uid="{A2054646-C78C-4B48-BAAB-6F13D1E28F3F}" name="25m (s)" dataDxfId="89"/>
    <tableColumn id="10" xr3:uid="{297E6934-BD6A-4ACD-A371-B295A955C466}" name="50m (s)" dataDxfId="88"/>
    <tableColumn id="23" xr3:uid="{D356ACEF-99E6-4D7E-AA6C-7B6B4B87300B}" name="m.s 10m" dataDxfId="87"/>
    <tableColumn id="13" xr3:uid="{EB3EE2CB-05BE-484D-AE1B-1374BDC78071}" name="KM/H 10m" dataDxfId="86"/>
    <tableColumn id="22" xr3:uid="{03F91FBC-F115-4342-B203-5ADD4D9C9B14}" name="m.s 20m" dataDxfId="85"/>
    <tableColumn id="14" xr3:uid="{FFD259B2-FC6F-4FA9-9324-16F346E232EB}" name="KM/H 20m" dataDxfId="84"/>
    <tableColumn id="21" xr3:uid="{BE2C19E6-D9EA-416D-AD1D-6E83F4BE53F6}" name="m.s 25m" dataDxfId="83"/>
    <tableColumn id="18" xr3:uid="{A9B723BA-7E72-4D60-A1D5-AAE35EF31325}" name="KM/H 25m" dataDxfId="82"/>
    <tableColumn id="20" xr3:uid="{0953C9C3-B9D2-4DA8-AD99-2351D28B4192}" name="m.s 50m" dataDxfId="81"/>
    <tableColumn id="25" xr3:uid="{12042E46-F595-49C5-A8AC-909BB02AA627}" name="KM/H 50m" dataDxfId="80"/>
    <tableColumn id="16" xr3:uid="{34703F4B-B0DA-450F-8E89-6E65E683A3EF}" name="BroadJump (cm)" dataDxfId="7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1CB736-1186-4F3F-B955-CB41FD3D51AB}" name="ListDatas34" displayName="ListDatas34" ref="A1:AB36" totalsRowShown="0" headerRowDxfId="199" dataDxfId="198">
  <autoFilter ref="A1:AB36" xr:uid="{8C306A40-F64D-4ADE-8797-102F56DF1021}"/>
  <sortState xmlns:xlrd2="http://schemas.microsoft.com/office/spreadsheetml/2017/richdata2" ref="A2:AB35">
    <sortCondition ref="A1:A36"/>
  </sortState>
  <tableColumns count="28">
    <tableColumn id="1" xr3:uid="{6A3D2478-7FB4-4F2C-B948-121D02EA95BF}" name="Nom " dataDxfId="197"/>
    <tableColumn id="2" xr3:uid="{6D5034AE-6D9F-4AE2-94AB-0B6AEB72290B}" name="Poste " dataDxfId="196"/>
    <tableColumn id="11" xr3:uid="{2F841D00-8572-455E-941D-2DA34C64EF63}" name="Dates (Mois)" dataDxfId="195"/>
    <tableColumn id="12" xr3:uid="{6FAC5F96-7E3D-4E12-AD20-5AF2F83BAFF5}" name="Poids (kg)" dataDxfId="194"/>
    <tableColumn id="30" xr3:uid="{478210F5-D95F-49A5-AD9E-C784B08EDDBA}" name="Yo-yo Palier" dataDxfId="193"/>
    <tableColumn id="7" xr3:uid="{986A5810-9155-4740-A440-4C384A05A57C}" name="Yo-yo level 1" dataDxfId="192"/>
    <tableColumn id="5" xr3:uid="{890EE45B-7322-43FE-AE48-7784A4E7C65F}" name="1RM DC" dataDxfId="191"/>
    <tableColumn id="6" xr3:uid="{7866CC16-851F-4121-A31D-C6E68427ED98}" name="1RM SQUAT" dataDxfId="190"/>
    <tableColumn id="8" xr3:uid="{5E6F3E72-7918-4BD2-94B5-3D73B401E50A}" name="10m (s)" dataDxfId="189"/>
    <tableColumn id="19" xr3:uid="{69714AA9-C653-42C4-AC60-A8EAEBD5A64B}" name="20m (s)" dataDxfId="188"/>
    <tableColumn id="9" xr3:uid="{FDC296F3-1A0B-4816-9633-6CCBC0B33138}" name="30m (s)" dataDxfId="187"/>
    <tableColumn id="10" xr3:uid="{8E4D3EA2-A5FA-452A-8359-F4A5D8AB8585}" name="40m (s)" dataDxfId="186"/>
    <tableColumn id="34" xr3:uid="{3B33642B-5A64-4BDC-8747-0CD69E51CEFC}" name="0-10m" dataDxfId="185">
      <calculatedColumnFormula>ListDatas34[[#This Row],[10m (s)]]</calculatedColumnFormula>
    </tableColumn>
    <tableColumn id="33" xr3:uid="{95B71AAB-6FB5-4BAD-A02A-A379A1538B3E}" name="10m - 20m" dataDxfId="184">
      <calculatedColumnFormula>ListDatas34[[#This Row],[20m (s)]]-ListDatas34[[#This Row],[10m (s)]]</calculatedColumnFormula>
    </tableColumn>
    <tableColumn id="32" xr3:uid="{0B8DAB6A-9EE9-4B40-8D01-8715217A9EFB}" name="20-30m" dataDxfId="183">
      <calculatedColumnFormula>ListDatas34[[#This Row],[30m (s)]]-ListDatas34[[#This Row],[20m (s)]]</calculatedColumnFormula>
    </tableColumn>
    <tableColumn id="31" xr3:uid="{C065FE6A-25EF-4FC6-94A4-B7EA68D57DA6}" name="30-40m" dataDxfId="182">
      <calculatedColumnFormula>ListDatas34[[#This Row],[40m (s)]]-ListDatas34[[#This Row],[30m (s)]]</calculatedColumnFormula>
    </tableColumn>
    <tableColumn id="35" xr3:uid="{1C30C850-E51E-4712-AD0F-DD949FFE01FA}" name="ms10-20m" dataDxfId="181">
      <calculatedColumnFormula>10/ListDatas34[[#This Row],[10m - 20m]]</calculatedColumnFormula>
    </tableColumn>
    <tableColumn id="36" xr3:uid="{4D2AD6AA-B83A-4384-8CAC-2738653E5B1C}" name="ms20-30m" dataDxfId="180">
      <calculatedColumnFormula>10/ListDatas34[[#This Row],[20-30m]]</calculatedColumnFormula>
    </tableColumn>
    <tableColumn id="37" xr3:uid="{7D04E94C-A735-4520-9FDE-12D163C5B9A5}" name="ms30-40m" dataDxfId="179">
      <calculatedColumnFormula>10/ListDatas34[[#This Row],[30-40m]]</calculatedColumnFormula>
    </tableColumn>
    <tableColumn id="23" xr3:uid="{CD7D064A-DBED-4EC9-A83A-30BF9AB37D0C}" name="m.s 10m" dataDxfId="178">
      <calculatedColumnFormula>10/ListDatas34[[#This Row],[10m (s)]]</calculatedColumnFormula>
    </tableColumn>
    <tableColumn id="13" xr3:uid="{5E6D7684-4ED0-4E01-88F4-4736A475D263}" name="KM/H 10m" dataDxfId="177">
      <calculatedColumnFormula>ListDatas34[[#This Row],[m.s 10m]]*3.6</calculatedColumnFormula>
    </tableColumn>
    <tableColumn id="22" xr3:uid="{FDCE6B91-458C-47C2-9CD6-0F7CC0244459}" name="m.s 20m" dataDxfId="176">
      <calculatedColumnFormula>20/ListDatas34[[#This Row],[20m (s)]]</calculatedColumnFormula>
    </tableColumn>
    <tableColumn id="14" xr3:uid="{E3B48EF3-9109-44A0-8CEB-CF93E30FFECB}" name="KM/H 20m" dataDxfId="175">
      <calculatedColumnFormula>ListDatas34[[#This Row],[m.s 20m]]*3.6</calculatedColumnFormula>
    </tableColumn>
    <tableColumn id="21" xr3:uid="{66F657D8-7B2F-4154-A35D-E76EF8CEED9B}" name="m.s 30m" dataDxfId="174">
      <calculatedColumnFormula>30/ListDatas34[[#This Row],[30m (s)]]</calculatedColumnFormula>
    </tableColumn>
    <tableColumn id="18" xr3:uid="{312F8BDB-10AC-4C6D-8A33-E2BAFC6C5A28}" name="KM/H 30m" dataDxfId="173">
      <calculatedColumnFormula>ListDatas34[[#This Row],[m.s 30m]]*3.6</calculatedColumnFormula>
    </tableColumn>
    <tableColumn id="20" xr3:uid="{CB24407A-78B3-45EA-8559-BB179158B02F}" name="m.s 40m" dataDxfId="172">
      <calculatedColumnFormula>40/ListDatas34[[#This Row],[40m (s)]]</calculatedColumnFormula>
    </tableColumn>
    <tableColumn id="25" xr3:uid="{2DE321E7-54C7-413E-A1C7-40133135BFE1}" name="KM/H 40m" dataDxfId="171">
      <calculatedColumnFormula>ListDatas34[[#This Row],[m.s 40m]]*3.6</calculatedColumnFormula>
    </tableColumn>
    <tableColumn id="16" xr3:uid="{7951CB77-44AD-46E4-B718-5B147DA91E44}" name="BroadJump (cm)" dataDxfId="17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7DE9DB1-BBD5-4282-8AC1-F8F3B24EA0A3}" name="ListDatas346" displayName="ListDatas346" ref="A1:H36" totalsRowShown="0" headerRowDxfId="78" dataDxfId="77">
  <autoFilter ref="A1:H36" xr:uid="{8C306A40-F64D-4ADE-8797-102F56DF1021}"/>
  <sortState xmlns:xlrd2="http://schemas.microsoft.com/office/spreadsheetml/2017/richdata2" ref="A2:H36">
    <sortCondition ref="H1:H36"/>
  </sortState>
  <tableColumns count="8">
    <tableColumn id="1" xr3:uid="{57EBB76F-0615-456B-BE70-EB774F417CC9}" name="Nom " dataDxfId="76"/>
    <tableColumn id="2" xr3:uid="{C8364AE7-D07C-4DE3-888E-68661FBDDDAF}" name="Poste " dataDxfId="75"/>
    <tableColumn id="11" xr3:uid="{5086178E-703B-43BB-A03D-41BBD6873180}" name="Dates (Mois)" dataDxfId="74"/>
    <tableColumn id="17" xr3:uid="{3FED1056-461C-4F73-8B0F-E974BA025EED}" name="Taille (cm)" dataDxfId="73"/>
    <tableColumn id="12" xr3:uid="{A38359A7-A7F2-4DEB-89AC-8834534CF8D1}" name="Poids (kg)" dataDxfId="72"/>
    <tableColumn id="5" xr3:uid="{F514C81C-3868-4F70-8943-2B95F3E8E76F}" name="3RM DC" dataDxfId="71"/>
    <tableColumn id="6" xr3:uid="{4CBB58F8-2179-4860-BCCD-CF692B09AF74}" name="3RM SQUAT" dataDxfId="70"/>
    <tableColumn id="4" xr3:uid="{5AAD6FE9-F099-4193-BB34-5F1A4A710690}" name="3RM Tirage " dataDxfId="6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A645300-E4B1-4BBF-A37D-A06D5E9A1A55}" name="ListDatas3412" displayName="ListDatas3412" ref="A1:AL31" totalsRowShown="0" headerRowDxfId="39" dataDxfId="38">
  <autoFilter ref="A1:AL31" xr:uid="{8C306A40-F64D-4ADE-8797-102F56DF1021}"/>
  <sortState xmlns:xlrd2="http://schemas.microsoft.com/office/spreadsheetml/2017/richdata2" ref="A2:AL30">
    <sortCondition ref="A1:A30"/>
  </sortState>
  <tableColumns count="38">
    <tableColumn id="1" xr3:uid="{183782B3-2855-4F7F-A8D0-6A3A4B7A30E4}" name="Nom " dataDxfId="37"/>
    <tableColumn id="2" xr3:uid="{CF73EB1E-169C-48E8-8D89-8443C9637306}" name="Poste " dataDxfId="36"/>
    <tableColumn id="11" xr3:uid="{BBCF2DD5-161E-487B-9ED9-5526FAACD6B4}" name="Dates (Mois)" dataDxfId="35"/>
    <tableColumn id="17" xr3:uid="{40EC5246-0D96-426D-A942-4F5E9825EEA0}" name="Taille (cm)" dataDxfId="34"/>
    <tableColumn id="12" xr3:uid="{EDA4A9AB-EC0C-4D0F-B49D-253F656E19F1}" name="Poids (kg)" dataDxfId="33"/>
    <tableColumn id="30" xr3:uid="{3BFF2E99-3C2A-40F9-A568-98F93F9F92DE}" name="Yo-yo Palier" dataDxfId="32"/>
    <tableColumn id="7" xr3:uid="{F8002492-A8D8-4CF5-99AD-FAF3DBF319E2}" name="Yo-yo (m)" dataDxfId="31"/>
    <tableColumn id="27" xr3:uid="{B87783DC-065D-47C3-B006-CDE800B73A61}" name="Flexion" dataDxfId="30"/>
    <tableColumn id="15" xr3:uid="{74A49486-E8B3-498A-B3CD-C3F26F4CBF42}" name="Extension" dataDxfId="29"/>
    <tableColumn id="29" xr3:uid="{6D6E900C-07F9-4975-BF42-4451BE0B2F4A}" name="Ratio Ext/Flé" dataDxfId="28"/>
    <tableColumn id="28" xr3:uid="{9C3843C9-A405-4A8E-AF94-FE857E040A51}" name="Norme" dataDxfId="27"/>
    <tableColumn id="5" xr3:uid="{46C597E3-42DC-4408-ABCF-AC6A90AE3346}" name="1RM DC" dataDxfId="26"/>
    <tableColumn id="26" xr3:uid="{FE2FAA7D-564E-461B-85A4-BDCD4F11316B}" name="DC relative" dataDxfId="0">
      <calculatedColumnFormula>ListDatas3412[[#This Row],[1RM DC]]/ListDatas3412[[#This Row],[Poids (kg)]]</calculatedColumnFormula>
    </tableColumn>
    <tableColumn id="6" xr3:uid="{42DFDB37-CC78-4B55-96FB-31FD50772F48}" name="1RM Tirage" dataDxfId="5"/>
    <tableColumn id="38" xr3:uid="{080DC6E2-A33E-4168-BB88-0070B2194A3E}" name="Tirage relative" dataDxfId="2"/>
    <tableColumn id="4" xr3:uid="{BD6794D7-F9AF-4B60-91C2-5D907F39DAE1}" name="3RM Squat" dataDxfId="3"/>
    <tableColumn id="39" xr3:uid="{37F3A5F2-8BF7-4852-9E5D-44C4F66DE7A6}" name="Squat Relative" dataDxfId="1"/>
    <tableColumn id="24" xr3:uid="{984D9D10-21A6-4391-9BEC-9FEC5397E2CF}" name="Broadjump (cm)" dataDxfId="4"/>
    <tableColumn id="8" xr3:uid="{4C7A709E-E154-4D20-9E71-4448EF223D87}" name="10m (s)" dataDxfId="25"/>
    <tableColumn id="19" xr3:uid="{30091472-8C50-404F-BF7E-1E0AFE3C62A0}" name="20m (s)" dataDxfId="24"/>
    <tableColumn id="9" xr3:uid="{40F476C9-857F-430C-97DB-950D21F353DA}" name="30m (s)" dataDxfId="23"/>
    <tableColumn id="10" xr3:uid="{3A373FAF-7164-4FC6-872E-86FC7271E18F}" name="40m (s)" dataDxfId="22"/>
    <tableColumn id="34" xr3:uid="{ADD94110-3CD9-48EE-B577-6266B7B024C7}" name="0-10m" dataDxfId="21">
      <calculatedColumnFormula>ListDatas3412[[#This Row],[10m (s)]]</calculatedColumnFormula>
    </tableColumn>
    <tableColumn id="33" xr3:uid="{D6F82BEB-C2DE-4C14-9FA0-C6CFD6D41A96}" name="10m - 20m" dataDxfId="20">
      <calculatedColumnFormula>ListDatas3412[[#This Row],[20m (s)]]-ListDatas3412[[#This Row],[10m (s)]]</calculatedColumnFormula>
    </tableColumn>
    <tableColumn id="32" xr3:uid="{FEE6B2BD-7C89-4EB2-ACBF-44D74511C8FA}" name="20-30m" dataDxfId="19">
      <calculatedColumnFormula>ListDatas3412[[#This Row],[30m (s)]]-ListDatas3412[[#This Row],[20m (s)]]</calculatedColumnFormula>
    </tableColumn>
    <tableColumn id="31" xr3:uid="{3C4B7094-2F40-49CD-B78B-F1156F28372E}" name="30-40m" dataDxfId="18">
      <calculatedColumnFormula>ListDatas3412[[#This Row],[40m (s)]]-ListDatas3412[[#This Row],[30m (s)]]</calculatedColumnFormula>
    </tableColumn>
    <tableColumn id="35" xr3:uid="{03039E3A-A697-4AD0-A1D0-34A630B04382}" name="ms10-20m" dataDxfId="17">
      <calculatedColumnFormula>10/ListDatas3412[[#This Row],[10m - 20m]]</calculatedColumnFormula>
    </tableColumn>
    <tableColumn id="36" xr3:uid="{B654B715-0F1A-46AF-A381-D9D979282460}" name="ms20-30m" dataDxfId="16">
      <calculatedColumnFormula>10/ListDatas3412[[#This Row],[20-30m]]</calculatedColumnFormula>
    </tableColumn>
    <tableColumn id="37" xr3:uid="{C33B7AFD-47A1-49AA-8ECE-98CF123E1B4A}" name="ms30-40m" dataDxfId="15">
      <calculatedColumnFormula>10/ListDatas3412[[#This Row],[30-40m]]</calculatedColumnFormula>
    </tableColumn>
    <tableColumn id="23" xr3:uid="{7C23C33C-B731-4AA3-9E24-560834BD66BB}" name="m.s 10m" dataDxfId="14">
      <calculatedColumnFormula>10/ListDatas3412[[#This Row],[10m (s)]]</calculatedColumnFormula>
    </tableColumn>
    <tableColumn id="13" xr3:uid="{85BD2495-3D40-469B-A26D-EAC52F8EB7C6}" name="KM/H 10m" dataDxfId="13">
      <calculatedColumnFormula>ListDatas3412[[#This Row],[m.s 10m]]*3.6</calculatedColumnFormula>
    </tableColumn>
    <tableColumn id="22" xr3:uid="{E8C18A5B-5553-4703-9E43-CC89516DE853}" name="m.s 20m" dataDxfId="12">
      <calculatedColumnFormula>20/ListDatas3412[[#This Row],[20m (s)]]</calculatedColumnFormula>
    </tableColumn>
    <tableColumn id="14" xr3:uid="{EB443142-3FC6-498F-A388-4747336F13E2}" name="KM/H 20m" dataDxfId="11">
      <calculatedColumnFormula>ListDatas3412[[#This Row],[m.s 20m]]*3.6</calculatedColumnFormula>
    </tableColumn>
    <tableColumn id="21" xr3:uid="{D132CB1F-9570-442C-A2C3-4B5B9EF2571A}" name="m.s 30m" dataDxfId="10">
      <calculatedColumnFormula>30/ListDatas3412[[#This Row],[30m (s)]]</calculatedColumnFormula>
    </tableColumn>
    <tableColumn id="18" xr3:uid="{A97C9389-E4D3-4C4B-BC1F-E5E7FC749E04}" name="KM/H 30m" dataDxfId="9">
      <calculatedColumnFormula>ListDatas3412[[#This Row],[m.s 30m]]*3.6</calculatedColumnFormula>
    </tableColumn>
    <tableColumn id="20" xr3:uid="{BA63A89A-DA32-42FD-9A69-9CFC9890BDB5}" name="m.s 40m" dataDxfId="8">
      <calculatedColumnFormula>40/ListDatas3412[[#This Row],[40m (s)]]</calculatedColumnFormula>
    </tableColumn>
    <tableColumn id="25" xr3:uid="{5E1344CF-614A-4111-9BDA-96B1EFA6AC3E}" name="KM/H 40m" dataDxfId="7">
      <calculatedColumnFormula>ListDatas3412[[#This Row],[m.s 40m]]*3.6</calculatedColumnFormula>
    </tableColumn>
    <tableColumn id="16" xr3:uid="{2D70E667-E182-450F-8434-1B97D7F3A0E1}" name="BroadJump (cm)2" dataDxfId="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EB9F2E8-7959-4E19-B2DA-3714412C84C9}" name="Tableau710" displayName="Tableau710" ref="M1:T11" totalsRowShown="0" headerRowDxfId="53" dataDxfId="52">
  <autoFilter ref="M1:T11" xr:uid="{DEB9F2E8-7959-4E19-B2DA-3714412C84C9}"/>
  <sortState xmlns:xlrd2="http://schemas.microsoft.com/office/spreadsheetml/2017/richdata2" ref="M2:T11">
    <sortCondition ref="M1:M11"/>
  </sortState>
  <tableColumns count="8">
    <tableColumn id="1" xr3:uid="{5BCD35D6-0C1F-4900-A05A-61F256FC2BD3}" name="Nom" dataDxfId="51"/>
    <tableColumn id="2" xr3:uid="{A379C6CE-1999-4066-8B00-0D7F090BB312}" name="1RM DC"/>
    <tableColumn id="4" xr3:uid="{B0CFA790-2A9B-4590-84C4-14A37D91558B}" name="3RM Squat "/>
    <tableColumn id="5" xr3:uid="{DD54DE36-93EC-4151-A9DA-42CA22EF0254}" name="Yo-yo Test"/>
    <tableColumn id="6" xr3:uid="{C634D66C-2FB9-43CD-A795-09128D936CAA}" name="10m (s)" dataDxfId="50"/>
    <tableColumn id="7" xr3:uid="{E5D40CF6-77E5-4210-9644-07618848F9AB}" name="20m (s)" dataDxfId="49"/>
    <tableColumn id="8" xr3:uid="{4A45EBAF-5FEF-4B51-B10A-537145008464}" name="30m (s)" dataDxfId="48"/>
    <tableColumn id="9" xr3:uid="{C352A45D-6759-4B43-A4A3-A515DE9CE3B6}" name="40m (s)" dataDxfId="4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E4A83D2-1A9A-41E7-9EE9-BF62122C25CD}" name="Tableau7911" displayName="Tableau7911" ref="M14:T24" totalsRowShown="0" headerRowDxfId="46" dataDxfId="45">
  <autoFilter ref="M14:T24" xr:uid="{2E4A83D2-1A9A-41E7-9EE9-BF62122C25CD}"/>
  <sortState xmlns:xlrd2="http://schemas.microsoft.com/office/spreadsheetml/2017/richdata2" ref="M15:T24">
    <sortCondition ref="M1:M11"/>
  </sortState>
  <tableColumns count="8">
    <tableColumn id="1" xr3:uid="{295328EB-4F68-4128-BFF3-21E8BCBE063D}" name="Nom" dataDxfId="40"/>
    <tableColumn id="2" xr3:uid="{B713371C-3B03-44F2-AC93-2DACD4140753}" name="1RM DC"/>
    <tableColumn id="4" xr3:uid="{9C23FF7B-CE6D-4D35-926E-ACBF03B129F5}" name="3RM Squat "/>
    <tableColumn id="5" xr3:uid="{CA810962-9113-4ECB-BD81-9E9991E123D7}" name="Yo-yo Test"/>
    <tableColumn id="6" xr3:uid="{D0D39510-608E-4595-87EC-61FF088FFCE7}" name="10m (s)" dataDxfId="44"/>
    <tableColumn id="7" xr3:uid="{F6BE37F6-DB48-4930-8A55-6CB70943EE05}" name="20m (s)" dataDxfId="43"/>
    <tableColumn id="8" xr3:uid="{42286605-49CE-4D61-9FB7-50C02DAA2C5D}" name="30m (s)" dataDxfId="42"/>
    <tableColumn id="9" xr3:uid="{07C05EC7-B8B3-4F56-8389-E70ADF61E238}" name="40m (s)" dataDxfId="41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61B4060-84DC-4C13-BC27-04A5097DE17D}" name="Tableau7" displayName="Tableau7" ref="C1:J11" totalsRowShown="0" headerRowDxfId="61" dataDxfId="62">
  <autoFilter ref="C1:J11" xr:uid="{D61B4060-84DC-4C13-BC27-04A5097DE17D}"/>
  <sortState xmlns:xlrd2="http://schemas.microsoft.com/office/spreadsheetml/2017/richdata2" ref="C2:J11">
    <sortCondition ref="C1:C11"/>
  </sortState>
  <tableColumns count="8">
    <tableColumn id="1" xr3:uid="{67D47C08-877F-4AB5-8509-2BEF556D3FA9}" name="Nom" dataDxfId="67"/>
    <tableColumn id="2" xr3:uid="{1CF90758-9370-4ED4-8CBB-8B808ABF704A}" name="1RM DC"/>
    <tableColumn id="4" xr3:uid="{89B9F74F-069E-4A69-AA63-3A3592D63C6F}" name="3RM Squat "/>
    <tableColumn id="5" xr3:uid="{A1662805-9FF1-4622-84F4-AF54BA6BF806}" name="Yo-yo Test"/>
    <tableColumn id="6" xr3:uid="{E94D75A2-B37A-4D8B-85CF-F8061CAD8BD2}" name="10m (s)" dataDxfId="66"/>
    <tableColumn id="7" xr3:uid="{26938805-6924-4D64-9B84-6D8C6757B990}" name="20m (s)" dataDxfId="65"/>
    <tableColumn id="8" xr3:uid="{D05C760C-4370-4CD0-9C75-CFBDE3C4A198}" name="30m (s)" dataDxfId="64"/>
    <tableColumn id="9" xr3:uid="{3BD4FF0E-D259-484A-81AD-BDD637114774}" name="40m (s)" dataDxfId="6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3181A66-A86A-45D6-8B63-92C52C55373D}" name="Tableau79" displayName="Tableau79" ref="C14:J24" totalsRowShown="0" headerRowDxfId="60" dataDxfId="59">
  <autoFilter ref="C14:J24" xr:uid="{13181A66-A86A-45D6-8B63-92C52C55373D}"/>
  <sortState xmlns:xlrd2="http://schemas.microsoft.com/office/spreadsheetml/2017/richdata2" ref="C15:J24">
    <sortCondition ref="C14:C24"/>
  </sortState>
  <tableColumns count="8">
    <tableColumn id="1" xr3:uid="{DE9B5F22-B0DC-4ECA-8D2E-9D346A446518}" name="Nom" dataDxfId="58"/>
    <tableColumn id="2" xr3:uid="{8C638B9B-DC6F-480E-9CC3-6B382EC67B66}" name="1RM DC"/>
    <tableColumn id="4" xr3:uid="{7BCF91B4-380C-41E0-A939-7342605295E3}" name="3RM Squat "/>
    <tableColumn id="5" xr3:uid="{D595CE92-1DF4-4447-AD0E-34DA89ECD2A4}" name="Yo-yo Test"/>
    <tableColumn id="6" xr3:uid="{99E0F20B-FE3D-4044-BACA-0D8390118EB6}" name="10m (s)" dataDxfId="57"/>
    <tableColumn id="7" xr3:uid="{E4E673E0-5CB0-422E-B9AD-840370A83E0D}" name="20m (s)" dataDxfId="56"/>
    <tableColumn id="8" xr3:uid="{8BF03494-8BC6-46ED-BC68-F548B69BD0F0}" name="30m (s)" dataDxfId="55"/>
    <tableColumn id="9" xr3:uid="{8B171167-3E5F-4F17-89E7-E9A62D835268}" name="40m (s)" dataDxfId="54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1D1176-2EE1-4F64-BA50-FC0958556203}" name="TblDatee" displayName="TblDatee" ref="S2:T39" totalsRowShown="0">
  <autoFilter ref="S2:T39" xr:uid="{B11D1176-2EE1-4F64-BA50-FC0958556203}"/>
  <tableColumns count="2">
    <tableColumn id="1" xr3:uid="{937F29D9-D839-4795-AF3B-5FA182AA807C}" name="Jour" dataDxfId="68">
      <calculatedColumnFormula>S2+7</calculatedColumnFormula>
    </tableColumn>
    <tableColumn id="2" xr3:uid="{4050DBD1-9456-42C9-8D96-D1B65CB48501}" name="Semai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4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7E39B-0BD3-4C26-B990-B2310DF89FE8}">
  <dimension ref="A1:AV38"/>
  <sheetViews>
    <sheetView topLeftCell="A2" zoomScaleNormal="100" workbookViewId="0">
      <pane xSplit="1" topLeftCell="F1" activePane="topRight" state="frozen"/>
      <selection activeCell="A18" sqref="A18"/>
      <selection pane="topRight" activeCell="P2" sqref="P2"/>
    </sheetView>
  </sheetViews>
  <sheetFormatPr baseColWidth="10" defaultColWidth="10.5703125" defaultRowHeight="15" x14ac:dyDescent="0.25"/>
  <cols>
    <col min="1" max="1" width="12.42578125" bestFit="1" customWidth="1"/>
    <col min="2" max="2" width="14" bestFit="1" customWidth="1"/>
    <col min="3" max="3" width="16" bestFit="1" customWidth="1"/>
    <col min="4" max="4" width="14" bestFit="1" customWidth="1"/>
    <col min="5" max="5" width="13.7109375" bestFit="1" customWidth="1"/>
    <col min="6" max="6" width="16.28515625" bestFit="1" customWidth="1"/>
    <col min="7" max="7" width="12.85546875" bestFit="1" customWidth="1"/>
    <col min="8" max="8" width="12.140625" bestFit="1" customWidth="1"/>
    <col min="9" max="9" width="16.42578125" bestFit="1" customWidth="1"/>
    <col min="10" max="10" width="13.140625" bestFit="1" customWidth="1"/>
    <col min="11" max="11" width="16" customWidth="1"/>
    <col min="18" max="22" width="14.5703125" customWidth="1"/>
    <col min="23" max="23" width="13.5703125" customWidth="1"/>
    <col min="24" max="26" width="13" customWidth="1"/>
    <col min="27" max="27" width="12.42578125" customWidth="1"/>
    <col min="28" max="28" width="14" bestFit="1" customWidth="1"/>
    <col min="29" max="29" width="10" customWidth="1"/>
  </cols>
  <sheetData>
    <row r="1" spans="1:46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293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Z1" s="2"/>
    </row>
    <row r="2" spans="1:46" x14ac:dyDescent="0.25">
      <c r="A2" s="11" t="s">
        <v>56</v>
      </c>
      <c r="B2" s="11" t="s">
        <v>45</v>
      </c>
      <c r="C2" s="11" t="s">
        <v>24</v>
      </c>
      <c r="D2" s="11"/>
      <c r="E2" s="11">
        <v>70.400000000000006</v>
      </c>
      <c r="F2" s="11">
        <v>560</v>
      </c>
      <c r="G2" s="11">
        <v>15</v>
      </c>
      <c r="H2" s="11">
        <v>37.5</v>
      </c>
      <c r="I2" s="11">
        <v>42.5</v>
      </c>
      <c r="J2" s="11">
        <v>85</v>
      </c>
      <c r="K2" s="11">
        <v>0</v>
      </c>
      <c r="L2" s="11">
        <v>2.11</v>
      </c>
      <c r="M2" s="11">
        <v>3.76</v>
      </c>
      <c r="N2" s="11">
        <v>4.5999999999999996</v>
      </c>
      <c r="O2" s="11">
        <v>8.7799999999999994</v>
      </c>
      <c r="P2" s="12">
        <f>10/ListDatas[[#This Row],[10m (s)]]</f>
        <v>4.7393364928909953</v>
      </c>
      <c r="Q2" s="12">
        <f>ListDatas[[#This Row],[m.s 10m]]*3.6</f>
        <v>17.061611374407583</v>
      </c>
      <c r="R2" s="12">
        <f>20/ListDatas[[#This Row],[20m (s)]]</f>
        <v>5.3191489361702127</v>
      </c>
      <c r="S2" s="12">
        <f>ListDatas[[#This Row],[m.s 20m]]*3.6</f>
        <v>19.148936170212767</v>
      </c>
      <c r="T2" s="12">
        <f>25/ListDatas[[#This Row],[25m (s)]]</f>
        <v>5.4347826086956523</v>
      </c>
      <c r="U2" s="12">
        <f>ListDatas[[#This Row],[m.s 25m]]*3.6</f>
        <v>19.565217391304348</v>
      </c>
      <c r="V2" s="12">
        <f>50/ListDatas[[#This Row],[50m (s)]]</f>
        <v>5.6947608200455582</v>
      </c>
      <c r="W2" s="12">
        <f>ListDatas[[#This Row],[m.s 50m]]*3.6</f>
        <v>20.501138952164009</v>
      </c>
      <c r="X2" s="11">
        <v>170</v>
      </c>
      <c r="Z2" s="3"/>
      <c r="AR2" s="5"/>
    </row>
    <row r="3" spans="1:46" x14ac:dyDescent="0.25">
      <c r="A3" s="11" t="s">
        <v>35</v>
      </c>
      <c r="B3" s="11" t="s">
        <v>36</v>
      </c>
      <c r="C3" s="11" t="s">
        <v>24</v>
      </c>
      <c r="D3" s="11"/>
      <c r="E3" s="11">
        <v>61.5</v>
      </c>
      <c r="F3" s="11">
        <v>1480</v>
      </c>
      <c r="G3" s="11">
        <v>17</v>
      </c>
      <c r="H3" s="11">
        <v>37.5</v>
      </c>
      <c r="I3" s="11">
        <v>47.5</v>
      </c>
      <c r="J3" s="11">
        <v>75</v>
      </c>
      <c r="K3" s="11">
        <v>0</v>
      </c>
      <c r="L3" s="11">
        <v>1.97</v>
      </c>
      <c r="M3" s="11">
        <v>3.43</v>
      </c>
      <c r="N3" s="11">
        <v>4.28</v>
      </c>
      <c r="O3" s="11">
        <v>7.74</v>
      </c>
      <c r="P3" s="12">
        <f>10/ListDatas[[#This Row],[10m (s)]]</f>
        <v>5.0761421319796955</v>
      </c>
      <c r="Q3" s="12">
        <f>ListDatas[[#This Row],[m.s 10m]]*3.6</f>
        <v>18.274111675126903</v>
      </c>
      <c r="R3" s="12">
        <f>20/ListDatas[[#This Row],[20m (s)]]</f>
        <v>5.8309037900874632</v>
      </c>
      <c r="S3" s="12">
        <f>ListDatas[[#This Row],[m.s 20m]]*3.6</f>
        <v>20.991253644314867</v>
      </c>
      <c r="T3" s="12">
        <f>25/ListDatas[[#This Row],[25m (s)]]</f>
        <v>5.8411214953271022</v>
      </c>
      <c r="U3" s="12">
        <f>ListDatas[[#This Row],[m.s 25m]]*3.6</f>
        <v>21.028037383177569</v>
      </c>
      <c r="V3" s="12">
        <f>50/ListDatas[[#This Row],[50m (s)]]</f>
        <v>6.4599483204134369</v>
      </c>
      <c r="W3" s="12">
        <f>ListDatas[[#This Row],[m.s 50m]]*3.6</f>
        <v>23.255813953488374</v>
      </c>
      <c r="X3" s="11">
        <v>193</v>
      </c>
      <c r="Z3" s="3"/>
      <c r="AR3" s="3"/>
      <c r="AT3" s="3"/>
    </row>
    <row r="4" spans="1:46" x14ac:dyDescent="0.25">
      <c r="A4" s="11" t="s">
        <v>44</v>
      </c>
      <c r="B4" s="11" t="s">
        <v>45</v>
      </c>
      <c r="C4" s="11" t="s">
        <v>24</v>
      </c>
      <c r="D4" s="11"/>
      <c r="E4" s="11">
        <v>77.099999999999994</v>
      </c>
      <c r="F4" s="11">
        <v>560</v>
      </c>
      <c r="G4" s="13"/>
      <c r="H4" s="11">
        <v>52.5</v>
      </c>
      <c r="I4" s="13"/>
      <c r="J4" s="13"/>
      <c r="K4" s="11">
        <v>0</v>
      </c>
      <c r="L4" s="11">
        <v>2.02</v>
      </c>
      <c r="M4" s="11">
        <v>3.52</v>
      </c>
      <c r="N4" s="11">
        <v>4.3</v>
      </c>
      <c r="O4" s="11">
        <v>8.11</v>
      </c>
      <c r="P4" s="12">
        <f>10/ListDatas[[#This Row],[10m (s)]]</f>
        <v>4.9504950495049505</v>
      </c>
      <c r="Q4" s="12">
        <f>ListDatas[[#This Row],[m.s 10m]]*3.6</f>
        <v>17.821782178217823</v>
      </c>
      <c r="R4" s="12">
        <f>20/ListDatas[[#This Row],[20m (s)]]</f>
        <v>5.6818181818181817</v>
      </c>
      <c r="S4" s="12">
        <f>ListDatas[[#This Row],[m.s 20m]]*3.6</f>
        <v>20.454545454545453</v>
      </c>
      <c r="T4" s="12">
        <f>25/ListDatas[[#This Row],[25m (s)]]</f>
        <v>5.8139534883720936</v>
      </c>
      <c r="U4" s="12">
        <f>ListDatas[[#This Row],[m.s 25m]]*3.6</f>
        <v>20.930232558139537</v>
      </c>
      <c r="V4" s="12">
        <f>50/ListDatas[[#This Row],[50m (s)]]</f>
        <v>6.1652281134401976</v>
      </c>
      <c r="W4" s="12">
        <f>ListDatas[[#This Row],[m.s 50m]]*3.6</f>
        <v>22.194821208384713</v>
      </c>
      <c r="X4" s="11">
        <v>193</v>
      </c>
      <c r="Z4" s="3"/>
      <c r="AR4" s="3"/>
      <c r="AT4" s="3"/>
    </row>
    <row r="5" spans="1:46" x14ac:dyDescent="0.25">
      <c r="A5" s="11" t="s">
        <v>59</v>
      </c>
      <c r="B5" s="11" t="s">
        <v>45</v>
      </c>
      <c r="C5" s="11" t="s">
        <v>24</v>
      </c>
      <c r="D5" s="11"/>
      <c r="E5" s="11">
        <v>89.2</v>
      </c>
      <c r="F5" s="11">
        <v>440</v>
      </c>
      <c r="G5" s="11">
        <v>13.5</v>
      </c>
      <c r="H5" s="11">
        <v>45</v>
      </c>
      <c r="I5" s="11">
        <v>60</v>
      </c>
      <c r="J5" s="11">
        <v>95</v>
      </c>
      <c r="K5" s="11">
        <v>0</v>
      </c>
      <c r="L5" s="11">
        <v>2.23</v>
      </c>
      <c r="M5" s="11">
        <v>3.9</v>
      </c>
      <c r="N5" s="11">
        <v>4.88</v>
      </c>
      <c r="O5" s="11">
        <v>9.39</v>
      </c>
      <c r="P5" s="12">
        <f>10/ListDatas[[#This Row],[10m (s)]]</f>
        <v>4.4843049327354256</v>
      </c>
      <c r="Q5" s="12">
        <f>ListDatas[[#This Row],[m.s 10m]]*3.6</f>
        <v>16.143497757847534</v>
      </c>
      <c r="R5" s="12">
        <f>20/ListDatas[[#This Row],[20m (s)]]</f>
        <v>5.1282051282051286</v>
      </c>
      <c r="S5" s="12">
        <f>ListDatas[[#This Row],[m.s 20m]]*3.6</f>
        <v>18.461538461538463</v>
      </c>
      <c r="T5" s="12">
        <f>25/ListDatas[[#This Row],[25m (s)]]</f>
        <v>5.1229508196721314</v>
      </c>
      <c r="U5" s="12">
        <f>ListDatas[[#This Row],[m.s 25m]]*3.6</f>
        <v>18.442622950819672</v>
      </c>
      <c r="V5" s="12">
        <f>50/ListDatas[[#This Row],[50m (s)]]</f>
        <v>5.324813631522896</v>
      </c>
      <c r="W5" s="12">
        <f>ListDatas[[#This Row],[m.s 50m]]*3.6</f>
        <v>19.169329073482427</v>
      </c>
      <c r="X5" s="11">
        <v>170</v>
      </c>
      <c r="Z5" s="3"/>
      <c r="AR5" s="3"/>
      <c r="AT5" s="3"/>
    </row>
    <row r="6" spans="1:46" x14ac:dyDescent="0.25">
      <c r="A6" s="11" t="s">
        <v>28</v>
      </c>
      <c r="B6" s="11" t="s">
        <v>29</v>
      </c>
      <c r="C6" s="11" t="s">
        <v>24</v>
      </c>
      <c r="D6" s="11"/>
      <c r="E6" s="11">
        <v>64</v>
      </c>
      <c r="F6" s="11">
        <v>1400</v>
      </c>
      <c r="G6" s="11">
        <v>18.5</v>
      </c>
      <c r="H6" s="11">
        <v>50</v>
      </c>
      <c r="I6" s="11">
        <v>50</v>
      </c>
      <c r="J6" s="11">
        <v>105</v>
      </c>
      <c r="K6" s="11">
        <v>0</v>
      </c>
      <c r="L6" s="11">
        <v>1.94</v>
      </c>
      <c r="M6" s="11">
        <v>3.32</v>
      </c>
      <c r="N6" s="11">
        <v>4.07</v>
      </c>
      <c r="O6" s="11">
        <v>7.5</v>
      </c>
      <c r="P6" s="12">
        <f>10/ListDatas[[#This Row],[10m (s)]]</f>
        <v>5.1546391752577323</v>
      </c>
      <c r="Q6" s="12">
        <f>ListDatas[[#This Row],[m.s 10m]]*3.6</f>
        <v>18.556701030927837</v>
      </c>
      <c r="R6" s="12">
        <f>20/ListDatas[[#This Row],[20m (s)]]</f>
        <v>6.024096385542169</v>
      </c>
      <c r="S6" s="12">
        <f>ListDatas[[#This Row],[m.s 20m]]*3.6</f>
        <v>21.68674698795181</v>
      </c>
      <c r="T6" s="12">
        <f>25/ListDatas[[#This Row],[25m (s)]]</f>
        <v>6.142506142506142</v>
      </c>
      <c r="U6" s="12">
        <f>ListDatas[[#This Row],[m.s 25m]]*3.6</f>
        <v>22.113022113022112</v>
      </c>
      <c r="V6" s="12">
        <f>50/ListDatas[[#This Row],[50m (s)]]</f>
        <v>6.666666666666667</v>
      </c>
      <c r="W6" s="12">
        <f>ListDatas[[#This Row],[m.s 50m]]*3.6</f>
        <v>24</v>
      </c>
      <c r="X6" s="11">
        <v>202</v>
      </c>
      <c r="Z6" s="3"/>
      <c r="AR6" s="3"/>
      <c r="AT6" s="3"/>
    </row>
    <row r="7" spans="1:46" x14ac:dyDescent="0.25">
      <c r="A7" s="11" t="s">
        <v>34</v>
      </c>
      <c r="B7" s="11" t="s">
        <v>29</v>
      </c>
      <c r="C7" s="11" t="s">
        <v>24</v>
      </c>
      <c r="D7" s="11"/>
      <c r="E7" s="11">
        <v>63.4</v>
      </c>
      <c r="F7" s="13"/>
      <c r="G7" s="11">
        <v>17.5</v>
      </c>
      <c r="H7" s="11">
        <v>45</v>
      </c>
      <c r="I7" s="11">
        <v>48</v>
      </c>
      <c r="J7" s="11">
        <v>100</v>
      </c>
      <c r="K7" s="11">
        <v>0</v>
      </c>
      <c r="L7" s="11">
        <v>1.95</v>
      </c>
      <c r="M7" s="11">
        <v>3.39</v>
      </c>
      <c r="N7" s="11">
        <v>4.1100000000000003</v>
      </c>
      <c r="O7" s="11">
        <v>7.71</v>
      </c>
      <c r="P7" s="12">
        <f>10/ListDatas[[#This Row],[10m (s)]]</f>
        <v>5.1282051282051286</v>
      </c>
      <c r="Q7" s="12">
        <f>ListDatas[[#This Row],[m.s 10m]]*3.6</f>
        <v>18.461538461538463</v>
      </c>
      <c r="R7" s="12">
        <f>20/ListDatas[[#This Row],[20m (s)]]</f>
        <v>5.8997050147492622</v>
      </c>
      <c r="S7" s="12">
        <f>ListDatas[[#This Row],[m.s 20m]]*3.6</f>
        <v>21.238938053097346</v>
      </c>
      <c r="T7" s="12">
        <f>25/ListDatas[[#This Row],[25m (s)]]</f>
        <v>6.0827250608272498</v>
      </c>
      <c r="U7" s="12">
        <f>ListDatas[[#This Row],[m.s 25m]]*3.6</f>
        <v>21.897810218978101</v>
      </c>
      <c r="V7" s="12">
        <f>50/ListDatas[[#This Row],[50m (s)]]</f>
        <v>6.4850843060959793</v>
      </c>
      <c r="W7" s="12">
        <f>ListDatas[[#This Row],[m.s 50m]]*3.6</f>
        <v>23.346303501945528</v>
      </c>
      <c r="X7" s="13"/>
      <c r="Z7" s="3"/>
      <c r="AR7" s="3"/>
      <c r="AT7" s="3"/>
    </row>
    <row r="8" spans="1:46" x14ac:dyDescent="0.25">
      <c r="A8" s="11" t="s">
        <v>61</v>
      </c>
      <c r="B8" s="11" t="s">
        <v>45</v>
      </c>
      <c r="C8" s="11" t="s">
        <v>24</v>
      </c>
      <c r="D8" s="11"/>
      <c r="E8" s="11">
        <v>72.5</v>
      </c>
      <c r="F8" s="11">
        <v>400</v>
      </c>
      <c r="G8" s="11">
        <v>12.5</v>
      </c>
      <c r="H8" s="11">
        <v>35</v>
      </c>
      <c r="I8" s="11">
        <v>40</v>
      </c>
      <c r="J8" s="11">
        <v>80</v>
      </c>
      <c r="K8" s="11">
        <v>0</v>
      </c>
      <c r="L8" s="13"/>
      <c r="M8" s="13"/>
      <c r="N8" s="13"/>
      <c r="O8" s="13"/>
      <c r="P8" s="12" t="e">
        <f>10/ListDatas[[#This Row],[10m (s)]]</f>
        <v>#DIV/0!</v>
      </c>
      <c r="Q8" s="12" t="e">
        <f>ListDatas[[#This Row],[m.s 10m]]*3.6</f>
        <v>#DIV/0!</v>
      </c>
      <c r="R8" s="12" t="e">
        <f>20/ListDatas[[#This Row],[20m (s)]]</f>
        <v>#DIV/0!</v>
      </c>
      <c r="S8" s="12" t="e">
        <f>ListDatas[[#This Row],[m.s 20m]]*3.6</f>
        <v>#DIV/0!</v>
      </c>
      <c r="T8" s="12" t="e">
        <f>25/ListDatas[[#This Row],[25m (s)]]</f>
        <v>#DIV/0!</v>
      </c>
      <c r="U8" s="12" t="e">
        <f>ListDatas[[#This Row],[m.s 25m]]*3.6</f>
        <v>#DIV/0!</v>
      </c>
      <c r="V8" s="12" t="e">
        <f>50/ListDatas[[#This Row],[50m (s)]]</f>
        <v>#DIV/0!</v>
      </c>
      <c r="W8" s="12" t="e">
        <f>ListDatas[[#This Row],[m.s 50m]]*3.6</f>
        <v>#DIV/0!</v>
      </c>
      <c r="X8" s="13"/>
      <c r="Z8" s="3"/>
      <c r="AR8" s="3"/>
      <c r="AT8" s="3"/>
    </row>
    <row r="9" spans="1:46" x14ac:dyDescent="0.25">
      <c r="A9" s="11" t="s">
        <v>37</v>
      </c>
      <c r="B9" s="11" t="s">
        <v>296</v>
      </c>
      <c r="C9" s="11" t="s">
        <v>24</v>
      </c>
      <c r="D9" s="11"/>
      <c r="E9" s="11">
        <v>65.5</v>
      </c>
      <c r="F9" s="11">
        <v>560</v>
      </c>
      <c r="G9" s="13"/>
      <c r="H9" s="20"/>
      <c r="I9" s="20"/>
      <c r="J9" s="20"/>
      <c r="K9" s="11">
        <v>0</v>
      </c>
      <c r="L9" s="11">
        <v>1.99</v>
      </c>
      <c r="M9" s="11">
        <v>3.53</v>
      </c>
      <c r="N9" s="11">
        <v>4.1500000000000004</v>
      </c>
      <c r="O9" s="11">
        <v>7.93</v>
      </c>
      <c r="P9" s="12">
        <f>10/ListDatas[[#This Row],[10m (s)]]</f>
        <v>5.025125628140704</v>
      </c>
      <c r="Q9" s="12">
        <f>ListDatas[[#This Row],[m.s 10m]]*3.6</f>
        <v>18.090452261306535</v>
      </c>
      <c r="R9" s="12">
        <f>20/ListDatas[[#This Row],[20m (s)]]</f>
        <v>5.6657223796034</v>
      </c>
      <c r="S9" s="12">
        <f>ListDatas[[#This Row],[m.s 20m]]*3.6</f>
        <v>20.396600566572239</v>
      </c>
      <c r="T9" s="12">
        <f>25/ListDatas[[#This Row],[25m (s)]]</f>
        <v>6.0240963855421681</v>
      </c>
      <c r="U9" s="12">
        <f>ListDatas[[#This Row],[m.s 25m]]*3.6</f>
        <v>21.686746987951807</v>
      </c>
      <c r="V9" s="12">
        <f>50/ListDatas[[#This Row],[50m (s)]]</f>
        <v>6.3051702395964693</v>
      </c>
      <c r="W9" s="12">
        <f>ListDatas[[#This Row],[m.s 50m]]*3.6</f>
        <v>22.698612862547289</v>
      </c>
      <c r="X9" s="11">
        <v>197</v>
      </c>
      <c r="Z9" s="3"/>
      <c r="AR9" s="3"/>
      <c r="AT9" s="3"/>
    </row>
    <row r="10" spans="1:46" x14ac:dyDescent="0.25">
      <c r="A10" s="11" t="s">
        <v>62</v>
      </c>
      <c r="B10" s="11" t="s">
        <v>295</v>
      </c>
      <c r="C10" s="11" t="s">
        <v>24</v>
      </c>
      <c r="D10" s="11"/>
      <c r="E10" s="11">
        <v>59.3</v>
      </c>
      <c r="F10" s="11">
        <v>1400</v>
      </c>
      <c r="G10" s="11">
        <v>18.5</v>
      </c>
      <c r="H10" s="11">
        <v>37.5</v>
      </c>
      <c r="I10" s="11">
        <v>45</v>
      </c>
      <c r="J10" s="11">
        <v>90</v>
      </c>
      <c r="K10" s="11">
        <v>0</v>
      </c>
      <c r="L10" s="11">
        <v>1.92</v>
      </c>
      <c r="M10" s="11">
        <v>3.32</v>
      </c>
      <c r="N10" s="13"/>
      <c r="O10" s="13"/>
      <c r="P10" s="12">
        <f>10/ListDatas[[#This Row],[10m (s)]]</f>
        <v>5.2083333333333339</v>
      </c>
      <c r="Q10" s="12">
        <f>ListDatas[[#This Row],[m.s 10m]]*3.6</f>
        <v>18.750000000000004</v>
      </c>
      <c r="R10" s="12">
        <f>20/ListDatas[[#This Row],[20m (s)]]</f>
        <v>6.024096385542169</v>
      </c>
      <c r="S10" s="12">
        <f>ListDatas[[#This Row],[m.s 20m]]*3.6</f>
        <v>21.68674698795181</v>
      </c>
      <c r="T10" s="12" t="e">
        <f>25/ListDatas[[#This Row],[25m (s)]]</f>
        <v>#DIV/0!</v>
      </c>
      <c r="U10" s="12" t="e">
        <f>ListDatas[[#This Row],[m.s 25m]]*3.6</f>
        <v>#DIV/0!</v>
      </c>
      <c r="V10" s="12" t="e">
        <f>50/ListDatas[[#This Row],[50m (s)]]</f>
        <v>#DIV/0!</v>
      </c>
      <c r="W10" s="12" t="e">
        <f>ListDatas[[#This Row],[m.s 50m]]*3.6</f>
        <v>#DIV/0!</v>
      </c>
      <c r="X10" s="11">
        <v>187</v>
      </c>
      <c r="Z10" s="3"/>
      <c r="AR10" s="3"/>
      <c r="AT10" s="3"/>
    </row>
    <row r="11" spans="1:46" x14ac:dyDescent="0.25">
      <c r="A11" s="11" t="s">
        <v>52</v>
      </c>
      <c r="B11" s="11" t="s">
        <v>29</v>
      </c>
      <c r="C11" s="11" t="s">
        <v>24</v>
      </c>
      <c r="D11" s="11"/>
      <c r="E11" s="11">
        <v>59</v>
      </c>
      <c r="F11" s="11">
        <v>680</v>
      </c>
      <c r="G11" s="11">
        <v>16</v>
      </c>
      <c r="H11" s="11">
        <v>30</v>
      </c>
      <c r="I11" s="11">
        <v>42.5</v>
      </c>
      <c r="J11" s="11">
        <v>70</v>
      </c>
      <c r="K11" s="11">
        <v>0</v>
      </c>
      <c r="L11" s="11">
        <v>2.13</v>
      </c>
      <c r="M11" s="11">
        <v>3.73</v>
      </c>
      <c r="N11" s="11">
        <v>4.41</v>
      </c>
      <c r="O11" s="11">
        <v>8.49</v>
      </c>
      <c r="P11" s="12">
        <f>10/ListDatas[[#This Row],[10m (s)]]</f>
        <v>4.694835680751174</v>
      </c>
      <c r="Q11" s="12">
        <f>ListDatas[[#This Row],[m.s 10m]]*3.6</f>
        <v>16.901408450704228</v>
      </c>
      <c r="R11" s="12">
        <f>20/ListDatas[[#This Row],[20m (s)]]</f>
        <v>5.3619302949061662</v>
      </c>
      <c r="S11" s="12">
        <f>ListDatas[[#This Row],[m.s 20m]]*3.6</f>
        <v>19.302949061662201</v>
      </c>
      <c r="T11" s="12">
        <f>25/ListDatas[[#This Row],[25m (s)]]</f>
        <v>5.6689342403628116</v>
      </c>
      <c r="U11" s="12">
        <f>ListDatas[[#This Row],[m.s 25m]]*3.6</f>
        <v>20.408163265306122</v>
      </c>
      <c r="V11" s="12">
        <f>50/ListDatas[[#This Row],[50m (s)]]</f>
        <v>5.8892815076560661</v>
      </c>
      <c r="W11" s="12">
        <f>ListDatas[[#This Row],[m.s 50m]]*3.6</f>
        <v>21.201413427561839</v>
      </c>
      <c r="X11" s="11">
        <v>180</v>
      </c>
      <c r="Z11" s="3"/>
      <c r="AR11" s="3"/>
      <c r="AT11" s="3"/>
    </row>
    <row r="12" spans="1:46" x14ac:dyDescent="0.25">
      <c r="A12" s="11" t="s">
        <v>23</v>
      </c>
      <c r="B12" s="11" t="s">
        <v>295</v>
      </c>
      <c r="C12" s="11" t="s">
        <v>24</v>
      </c>
      <c r="D12" s="11"/>
      <c r="E12" s="11">
        <v>65.900000000000006</v>
      </c>
      <c r="F12" s="11">
        <v>960</v>
      </c>
      <c r="G12" s="13"/>
      <c r="H12" s="11">
        <v>37.5</v>
      </c>
      <c r="I12" s="11">
        <v>37.5</v>
      </c>
      <c r="J12" s="11">
        <v>70</v>
      </c>
      <c r="K12" s="11">
        <v>0</v>
      </c>
      <c r="L12" s="11">
        <v>1.71</v>
      </c>
      <c r="M12" s="11">
        <v>3.1</v>
      </c>
      <c r="N12" s="11">
        <v>3.73</v>
      </c>
      <c r="O12" s="11">
        <v>6.94</v>
      </c>
      <c r="P12" s="12">
        <f>10/ListDatas[[#This Row],[10m (s)]]</f>
        <v>5.8479532163742691</v>
      </c>
      <c r="Q12" s="12">
        <f>ListDatas[[#This Row],[m.s 10m]]*3.6</f>
        <v>21.05263157894737</v>
      </c>
      <c r="R12" s="12">
        <f>20/ListDatas[[#This Row],[20m (s)]]</f>
        <v>6.4516129032258061</v>
      </c>
      <c r="S12" s="12">
        <f>ListDatas[[#This Row],[m.s 20m]]*3.6</f>
        <v>23.225806451612904</v>
      </c>
      <c r="T12" s="12">
        <f>25/ListDatas[[#This Row],[25m (s)]]</f>
        <v>6.7024128686327078</v>
      </c>
      <c r="U12" s="12">
        <f>ListDatas[[#This Row],[m.s 25m]]*3.6</f>
        <v>24.128686327077748</v>
      </c>
      <c r="V12" s="12">
        <f>50/ListDatas[[#This Row],[50m (s)]]</f>
        <v>7.2046109510086449</v>
      </c>
      <c r="W12" s="12">
        <f>ListDatas[[#This Row],[m.s 50m]]*3.6</f>
        <v>25.936599423631122</v>
      </c>
      <c r="X12" s="13"/>
      <c r="Z12" s="3"/>
      <c r="AR12" s="3"/>
      <c r="AT12" s="3"/>
    </row>
    <row r="13" spans="1:46" x14ac:dyDescent="0.25">
      <c r="A13" s="11" t="s">
        <v>48</v>
      </c>
      <c r="B13" s="11" t="s">
        <v>49</v>
      </c>
      <c r="C13" s="11" t="s">
        <v>24</v>
      </c>
      <c r="D13" s="11"/>
      <c r="E13" s="11"/>
      <c r="F13" s="13"/>
      <c r="G13" s="11">
        <v>17</v>
      </c>
      <c r="H13" s="11">
        <v>42.5</v>
      </c>
      <c r="I13" s="11">
        <v>40</v>
      </c>
      <c r="J13" s="11">
        <v>80</v>
      </c>
      <c r="K13" s="11">
        <v>0</v>
      </c>
      <c r="L13" s="11">
        <v>2.13</v>
      </c>
      <c r="M13" s="11">
        <v>3.72</v>
      </c>
      <c r="N13" s="11">
        <v>4.43</v>
      </c>
      <c r="O13" s="11">
        <v>8.36</v>
      </c>
      <c r="P13" s="12">
        <f>10/ListDatas[[#This Row],[10m (s)]]</f>
        <v>4.694835680751174</v>
      </c>
      <c r="Q13" s="12">
        <f>ListDatas[[#This Row],[m.s 10m]]*3.6</f>
        <v>16.901408450704228</v>
      </c>
      <c r="R13" s="12">
        <f>20/ListDatas[[#This Row],[20m (s)]]</f>
        <v>5.376344086021505</v>
      </c>
      <c r="S13" s="12">
        <f>ListDatas[[#This Row],[m.s 20m]]*3.6</f>
        <v>19.35483870967742</v>
      </c>
      <c r="T13" s="12">
        <f>25/ListDatas[[#This Row],[25m (s)]]</f>
        <v>5.6433408577878108</v>
      </c>
      <c r="U13" s="12">
        <f>ListDatas[[#This Row],[m.s 25m]]*3.6</f>
        <v>20.316027088036119</v>
      </c>
      <c r="V13" s="12">
        <f>50/ListDatas[[#This Row],[50m (s)]]</f>
        <v>5.9808612440191391</v>
      </c>
      <c r="W13" s="12">
        <f>ListDatas[[#This Row],[m.s 50m]]*3.6</f>
        <v>21.5311004784689</v>
      </c>
      <c r="X13" s="11">
        <v>178</v>
      </c>
      <c r="Z13" s="3"/>
      <c r="AR13" s="3"/>
      <c r="AT13" s="3"/>
    </row>
    <row r="14" spans="1:46" x14ac:dyDescent="0.25">
      <c r="A14" s="11" t="s">
        <v>63</v>
      </c>
      <c r="B14" s="11" t="s">
        <v>45</v>
      </c>
      <c r="C14" s="11" t="s">
        <v>42</v>
      </c>
      <c r="D14" s="11"/>
      <c r="E14" s="11">
        <v>80.099999999999994</v>
      </c>
      <c r="F14" s="11">
        <v>560</v>
      </c>
      <c r="G14" s="13"/>
      <c r="H14" s="13"/>
      <c r="I14" s="13"/>
      <c r="J14" s="13"/>
      <c r="K14" s="11">
        <v>0</v>
      </c>
      <c r="L14" s="13"/>
      <c r="M14" s="13"/>
      <c r="N14" s="13"/>
      <c r="O14" s="13"/>
      <c r="P14" s="12" t="e">
        <f>10/ListDatas[[#This Row],[10m (s)]]</f>
        <v>#DIV/0!</v>
      </c>
      <c r="Q14" s="12" t="e">
        <f>ListDatas[[#This Row],[m.s 10m]]*3.6</f>
        <v>#DIV/0!</v>
      </c>
      <c r="R14" s="12" t="e">
        <f>20/ListDatas[[#This Row],[20m (s)]]</f>
        <v>#DIV/0!</v>
      </c>
      <c r="S14" s="12" t="e">
        <f>ListDatas[[#This Row],[m.s 20m]]*3.6</f>
        <v>#DIV/0!</v>
      </c>
      <c r="T14" s="12" t="e">
        <f>25/ListDatas[[#This Row],[25m (s)]]</f>
        <v>#DIV/0!</v>
      </c>
      <c r="U14" s="12" t="e">
        <f>ListDatas[[#This Row],[m.s 25m]]*3.6</f>
        <v>#DIV/0!</v>
      </c>
      <c r="V14" s="11" t="e">
        <f>50/ListDatas[[#This Row],[50m (s)]]</f>
        <v>#DIV/0!</v>
      </c>
      <c r="W14" s="12" t="e">
        <f>ListDatas[[#This Row],[m.s 50m]]*3.6</f>
        <v>#DIV/0!</v>
      </c>
      <c r="X14" s="13"/>
      <c r="Z14" s="3"/>
      <c r="AR14" s="3"/>
      <c r="AT14" s="3"/>
    </row>
    <row r="15" spans="1:46" x14ac:dyDescent="0.25">
      <c r="A15" s="11" t="s">
        <v>43</v>
      </c>
      <c r="B15" s="11" t="s">
        <v>29</v>
      </c>
      <c r="C15" s="11" t="s">
        <v>24</v>
      </c>
      <c r="D15" s="11"/>
      <c r="E15" s="11">
        <v>71.400000000000006</v>
      </c>
      <c r="F15" s="11">
        <v>640</v>
      </c>
      <c r="G15" s="11">
        <v>16.5</v>
      </c>
      <c r="H15" s="11">
        <v>45</v>
      </c>
      <c r="I15" s="11">
        <v>45</v>
      </c>
      <c r="J15" s="11">
        <v>95</v>
      </c>
      <c r="K15" s="11">
        <v>0</v>
      </c>
      <c r="L15" s="11">
        <v>2.04</v>
      </c>
      <c r="M15" s="11">
        <v>3.59</v>
      </c>
      <c r="N15" s="11">
        <v>4.33</v>
      </c>
      <c r="O15" s="11">
        <v>8.09</v>
      </c>
      <c r="P15" s="12">
        <f>10/ListDatas[[#This Row],[10m (s)]]</f>
        <v>4.9019607843137258</v>
      </c>
      <c r="Q15" s="12">
        <f>ListDatas[[#This Row],[m.s 10m]]*3.6</f>
        <v>17.647058823529413</v>
      </c>
      <c r="R15" s="12">
        <f>20/ListDatas[[#This Row],[20m (s)]]</f>
        <v>5.5710306406685239</v>
      </c>
      <c r="S15" s="12">
        <f>ListDatas[[#This Row],[m.s 20m]]*3.6</f>
        <v>20.055710306406688</v>
      </c>
      <c r="T15" s="12">
        <f>25/ListDatas[[#This Row],[25m (s)]]</f>
        <v>5.7736720554272516</v>
      </c>
      <c r="U15" s="12">
        <f>ListDatas[[#This Row],[m.s 25m]]*3.6</f>
        <v>20.785219399538107</v>
      </c>
      <c r="V15" s="12">
        <f>50/ListDatas[[#This Row],[50m (s)]]</f>
        <v>6.1804697156983934</v>
      </c>
      <c r="W15" s="12">
        <f>ListDatas[[#This Row],[m.s 50m]]*3.6</f>
        <v>22.249690976514216</v>
      </c>
      <c r="X15" s="11">
        <v>187</v>
      </c>
      <c r="Z15" s="3"/>
      <c r="AR15" s="3"/>
      <c r="AT15" s="3"/>
    </row>
    <row r="16" spans="1:46" x14ac:dyDescent="0.25">
      <c r="A16" s="11" t="s">
        <v>58</v>
      </c>
      <c r="B16" s="11" t="s">
        <v>29</v>
      </c>
      <c r="C16" s="11" t="s">
        <v>24</v>
      </c>
      <c r="D16" s="11"/>
      <c r="E16" s="11">
        <v>72.3</v>
      </c>
      <c r="F16" s="11">
        <v>440</v>
      </c>
      <c r="G16" s="11">
        <v>14</v>
      </c>
      <c r="H16" s="11">
        <v>40</v>
      </c>
      <c r="I16" s="11">
        <v>50</v>
      </c>
      <c r="J16" s="11">
        <v>90</v>
      </c>
      <c r="K16" s="11">
        <v>0</v>
      </c>
      <c r="L16" s="11">
        <v>2.15</v>
      </c>
      <c r="M16" s="11">
        <v>3.84</v>
      </c>
      <c r="N16" s="11">
        <v>4.7300000000000004</v>
      </c>
      <c r="O16" s="11">
        <v>9.18</v>
      </c>
      <c r="P16" s="12">
        <f>10/ListDatas[[#This Row],[10m (s)]]</f>
        <v>4.6511627906976747</v>
      </c>
      <c r="Q16" s="12">
        <f>ListDatas[[#This Row],[m.s 10m]]*3.6</f>
        <v>16.744186046511629</v>
      </c>
      <c r="R16" s="12">
        <f>20/ListDatas[[#This Row],[20m (s)]]</f>
        <v>5.2083333333333339</v>
      </c>
      <c r="S16" s="12">
        <f>ListDatas[[#This Row],[m.s 20m]]*3.6</f>
        <v>18.750000000000004</v>
      </c>
      <c r="T16" s="12">
        <f>25/ListDatas[[#This Row],[25m (s)]]</f>
        <v>5.2854122621564477</v>
      </c>
      <c r="U16" s="12">
        <f>ListDatas[[#This Row],[m.s 25m]]*3.6</f>
        <v>19.027484143763211</v>
      </c>
      <c r="V16" s="12">
        <f>50/ListDatas[[#This Row],[50m (s)]]</f>
        <v>5.4466230936819171</v>
      </c>
      <c r="W16" s="12">
        <f>ListDatas[[#This Row],[m.s 50m]]*3.6</f>
        <v>19.607843137254903</v>
      </c>
      <c r="X16" s="11">
        <v>180</v>
      </c>
      <c r="Z16" s="3"/>
      <c r="AR16" s="3"/>
      <c r="AT16" s="3"/>
    </row>
    <row r="17" spans="1:48" x14ac:dyDescent="0.25">
      <c r="A17" s="11" t="s">
        <v>60</v>
      </c>
      <c r="B17" s="11" t="s">
        <v>49</v>
      </c>
      <c r="C17" s="11" t="s">
        <v>24</v>
      </c>
      <c r="D17" s="11"/>
      <c r="E17" s="11">
        <v>61.1</v>
      </c>
      <c r="F17" s="13"/>
      <c r="G17" s="11">
        <v>13</v>
      </c>
      <c r="H17" s="11">
        <v>30</v>
      </c>
      <c r="I17" s="11">
        <v>40</v>
      </c>
      <c r="J17" s="11">
        <v>75</v>
      </c>
      <c r="K17" s="11">
        <v>0</v>
      </c>
      <c r="L17" s="11">
        <v>2.19</v>
      </c>
      <c r="M17" s="11">
        <v>3.88</v>
      </c>
      <c r="N17" s="11">
        <v>4.67</v>
      </c>
      <c r="O17" s="11">
        <v>9.66</v>
      </c>
      <c r="P17" s="12">
        <f>10/ListDatas[[#This Row],[10m (s)]]</f>
        <v>4.5662100456621006</v>
      </c>
      <c r="Q17" s="12">
        <f>ListDatas[[#This Row],[m.s 10m]]*3.6</f>
        <v>16.438356164383563</v>
      </c>
      <c r="R17" s="12">
        <f>20/ListDatas[[#This Row],[20m (s)]]</f>
        <v>5.1546391752577323</v>
      </c>
      <c r="S17" s="12">
        <f>ListDatas[[#This Row],[m.s 20m]]*3.6</f>
        <v>18.556701030927837</v>
      </c>
      <c r="T17" s="12">
        <f>25/ListDatas[[#This Row],[25m (s)]]</f>
        <v>5.3533190578158463</v>
      </c>
      <c r="U17" s="12">
        <f>ListDatas[[#This Row],[m.s 25m]]*3.6</f>
        <v>19.271948608137048</v>
      </c>
      <c r="V17" s="12">
        <f>50/ListDatas[[#This Row],[50m (s)]]</f>
        <v>5.1759834368530022</v>
      </c>
      <c r="W17" s="12">
        <f>ListDatas[[#This Row],[m.s 50m]]*3.6</f>
        <v>18.633540372670808</v>
      </c>
      <c r="X17" s="11">
        <v>153</v>
      </c>
      <c r="Z17" s="3"/>
      <c r="AR17" s="3"/>
      <c r="AT17" s="3"/>
    </row>
    <row r="18" spans="1:48" x14ac:dyDescent="0.25">
      <c r="A18" s="11" t="s">
        <v>50</v>
      </c>
      <c r="B18" s="11" t="s">
        <v>36</v>
      </c>
      <c r="C18" s="11" t="s">
        <v>24</v>
      </c>
      <c r="D18" s="11"/>
      <c r="E18" s="11">
        <v>54.55</v>
      </c>
      <c r="F18" s="11">
        <v>1040</v>
      </c>
      <c r="G18" s="11">
        <v>17</v>
      </c>
      <c r="H18" s="11">
        <v>40</v>
      </c>
      <c r="I18" s="11">
        <v>35</v>
      </c>
      <c r="J18" s="11">
        <v>75</v>
      </c>
      <c r="K18" s="11">
        <v>0</v>
      </c>
      <c r="L18" s="11">
        <v>2.08</v>
      </c>
      <c r="M18" s="11">
        <v>3.66</v>
      </c>
      <c r="N18" s="11">
        <v>4.4400000000000004</v>
      </c>
      <c r="O18" s="11">
        <v>8.3800000000000008</v>
      </c>
      <c r="P18" s="12">
        <f>10/ListDatas[[#This Row],[10m (s)]]</f>
        <v>4.8076923076923075</v>
      </c>
      <c r="Q18" s="12">
        <f>ListDatas[[#This Row],[m.s 10m]]*3.6</f>
        <v>17.307692307692307</v>
      </c>
      <c r="R18" s="12">
        <f>20/ListDatas[[#This Row],[20m (s)]]</f>
        <v>5.4644808743169397</v>
      </c>
      <c r="S18" s="12">
        <f>ListDatas[[#This Row],[m.s 20m]]*3.6</f>
        <v>19.672131147540984</v>
      </c>
      <c r="T18" s="12">
        <f>25/ListDatas[[#This Row],[25m (s)]]</f>
        <v>5.6306306306306304</v>
      </c>
      <c r="U18" s="12">
        <f>ListDatas[[#This Row],[m.s 25m]]*3.6</f>
        <v>20.27027027027027</v>
      </c>
      <c r="V18" s="12">
        <f>50/ListDatas[[#This Row],[50m (s)]]</f>
        <v>5.9665871121718368</v>
      </c>
      <c r="W18" s="12">
        <f>ListDatas[[#This Row],[m.s 50m]]*3.6</f>
        <v>21.479713603818613</v>
      </c>
      <c r="X18" s="11">
        <v>196</v>
      </c>
      <c r="Z18" s="3"/>
      <c r="AR18" s="3"/>
      <c r="AT18" s="3"/>
    </row>
    <row r="19" spans="1:48" x14ac:dyDescent="0.25">
      <c r="A19" s="11" t="s">
        <v>57</v>
      </c>
      <c r="B19" s="11" t="s">
        <v>29</v>
      </c>
      <c r="C19" s="11" t="s">
        <v>24</v>
      </c>
      <c r="D19" s="11"/>
      <c r="E19" s="11">
        <v>54.5</v>
      </c>
      <c r="F19" s="11">
        <v>1000</v>
      </c>
      <c r="G19" s="11">
        <v>15.5</v>
      </c>
      <c r="H19" s="11">
        <v>32.5</v>
      </c>
      <c r="I19" s="11">
        <v>40</v>
      </c>
      <c r="J19" s="11">
        <v>75</v>
      </c>
      <c r="K19" s="11">
        <v>0</v>
      </c>
      <c r="L19" s="11">
        <v>2.19</v>
      </c>
      <c r="M19" s="11">
        <v>3.92</v>
      </c>
      <c r="N19" s="11">
        <v>4.68</v>
      </c>
      <c r="O19" s="11">
        <v>8.92</v>
      </c>
      <c r="P19" s="12">
        <f>10/ListDatas[[#This Row],[10m (s)]]</f>
        <v>4.5662100456621006</v>
      </c>
      <c r="Q19" s="12">
        <f>ListDatas[[#This Row],[m.s 10m]]*3.6</f>
        <v>16.438356164383563</v>
      </c>
      <c r="R19" s="12">
        <f>20/ListDatas[[#This Row],[20m (s)]]</f>
        <v>5.1020408163265305</v>
      </c>
      <c r="S19" s="12">
        <f>ListDatas[[#This Row],[m.s 20m]]*3.6</f>
        <v>18.367346938775512</v>
      </c>
      <c r="T19" s="12">
        <f>25/ListDatas[[#This Row],[25m (s)]]</f>
        <v>5.3418803418803424</v>
      </c>
      <c r="U19" s="12">
        <f>ListDatas[[#This Row],[m.s 25m]]*3.6</f>
        <v>19.230769230769234</v>
      </c>
      <c r="V19" s="12">
        <f>50/ListDatas[[#This Row],[50m (s)]]</f>
        <v>5.6053811659192823</v>
      </c>
      <c r="W19" s="12">
        <f>ListDatas[[#This Row],[m.s 50m]]*3.6</f>
        <v>20.179372197309416</v>
      </c>
      <c r="X19" s="11">
        <v>160</v>
      </c>
      <c r="Z19" s="3"/>
      <c r="AR19" s="3"/>
      <c r="AT19" s="3"/>
    </row>
    <row r="20" spans="1:48" x14ac:dyDescent="0.25">
      <c r="A20" s="11" t="s">
        <v>26</v>
      </c>
      <c r="B20" s="11" t="s">
        <v>296</v>
      </c>
      <c r="C20" s="11" t="s">
        <v>24</v>
      </c>
      <c r="D20" s="11"/>
      <c r="E20" s="11">
        <v>60.2</v>
      </c>
      <c r="F20" s="11">
        <v>960</v>
      </c>
      <c r="G20" s="11">
        <v>16.5</v>
      </c>
      <c r="H20" s="11">
        <v>32.5</v>
      </c>
      <c r="I20" s="11">
        <v>35</v>
      </c>
      <c r="J20" s="11">
        <v>70</v>
      </c>
      <c r="K20" s="11">
        <v>0</v>
      </c>
      <c r="L20" s="11">
        <v>1.91</v>
      </c>
      <c r="M20" s="11">
        <v>3.32</v>
      </c>
      <c r="N20" s="11">
        <v>3.97</v>
      </c>
      <c r="O20" s="11">
        <v>7.38</v>
      </c>
      <c r="P20" s="12">
        <f>10/ListDatas[[#This Row],[10m (s)]]</f>
        <v>5.2356020942408383</v>
      </c>
      <c r="Q20" s="12">
        <f>ListDatas[[#This Row],[m.s 10m]]*3.6</f>
        <v>18.848167539267017</v>
      </c>
      <c r="R20" s="12">
        <f>20/ListDatas[[#This Row],[20m (s)]]</f>
        <v>6.024096385542169</v>
      </c>
      <c r="S20" s="12">
        <f>ListDatas[[#This Row],[m.s 20m]]*3.6</f>
        <v>21.68674698795181</v>
      </c>
      <c r="T20" s="12">
        <f>25/ListDatas[[#This Row],[25m (s)]]</f>
        <v>6.2972292191435768</v>
      </c>
      <c r="U20" s="12">
        <f>ListDatas[[#This Row],[m.s 25m]]*3.6</f>
        <v>22.670025188916878</v>
      </c>
      <c r="V20" s="12">
        <f>50/ListDatas[[#This Row],[50m (s)]]</f>
        <v>6.7750677506775068</v>
      </c>
      <c r="W20" s="12">
        <f>ListDatas[[#This Row],[m.s 50m]]*3.6</f>
        <v>24.390243902439025</v>
      </c>
      <c r="X20" s="11">
        <v>207</v>
      </c>
      <c r="Z20" s="3"/>
      <c r="AR20" s="3"/>
      <c r="AT20" s="3"/>
    </row>
    <row r="21" spans="1:48" x14ac:dyDescent="0.25">
      <c r="A21" s="11" t="s">
        <v>55</v>
      </c>
      <c r="B21" s="11" t="s">
        <v>45</v>
      </c>
      <c r="C21" s="11" t="s">
        <v>24</v>
      </c>
      <c r="D21" s="11"/>
      <c r="E21" s="11">
        <v>83.7</v>
      </c>
      <c r="F21" s="11">
        <v>560</v>
      </c>
      <c r="G21" s="11">
        <v>15.5</v>
      </c>
      <c r="H21" s="11">
        <v>50</v>
      </c>
      <c r="I21" s="11">
        <v>55</v>
      </c>
      <c r="J21" s="11">
        <v>70</v>
      </c>
      <c r="K21" s="11">
        <v>0</v>
      </c>
      <c r="L21" s="11">
        <v>2.2999999999999998</v>
      </c>
      <c r="M21" s="11">
        <v>3.95</v>
      </c>
      <c r="N21" s="11">
        <v>4.67</v>
      </c>
      <c r="O21" s="11">
        <v>8.65</v>
      </c>
      <c r="P21" s="12">
        <f>10/ListDatas[[#This Row],[10m (s)]]</f>
        <v>4.3478260869565224</v>
      </c>
      <c r="Q21" s="12">
        <f>ListDatas[[#This Row],[m.s 10m]]*3.6</f>
        <v>15.65217391304348</v>
      </c>
      <c r="R21" s="12">
        <f>20/ListDatas[[#This Row],[20m (s)]]</f>
        <v>5.0632911392405058</v>
      </c>
      <c r="S21" s="12">
        <f>ListDatas[[#This Row],[m.s 20m]]*3.6</f>
        <v>18.22784810126582</v>
      </c>
      <c r="T21" s="12">
        <f>25/ListDatas[[#This Row],[25m (s)]]</f>
        <v>5.3533190578158463</v>
      </c>
      <c r="U21" s="12">
        <f>ListDatas[[#This Row],[m.s 25m]]*3.6</f>
        <v>19.271948608137048</v>
      </c>
      <c r="V21" s="12">
        <f>50/ListDatas[[#This Row],[50m (s)]]</f>
        <v>5.7803468208092479</v>
      </c>
      <c r="W21" s="12">
        <f>ListDatas[[#This Row],[m.s 50m]]*3.6</f>
        <v>20.809248554913292</v>
      </c>
      <c r="X21" s="11">
        <v>166</v>
      </c>
      <c r="Z21" s="3"/>
      <c r="AR21" s="3"/>
      <c r="AT21" s="3"/>
    </row>
    <row r="22" spans="1:48" x14ac:dyDescent="0.25">
      <c r="A22" s="11" t="s">
        <v>41</v>
      </c>
      <c r="B22" s="11" t="s">
        <v>29</v>
      </c>
      <c r="C22" s="11" t="s">
        <v>42</v>
      </c>
      <c r="D22" s="11"/>
      <c r="E22" s="11">
        <v>59.4</v>
      </c>
      <c r="F22" s="11">
        <v>1200</v>
      </c>
      <c r="G22" s="11">
        <v>17.5</v>
      </c>
      <c r="H22" s="11">
        <v>40</v>
      </c>
      <c r="I22" s="11">
        <v>50</v>
      </c>
      <c r="J22" s="11">
        <v>100</v>
      </c>
      <c r="K22" s="11">
        <v>0</v>
      </c>
      <c r="L22" s="11">
        <v>2</v>
      </c>
      <c r="M22" s="11">
        <v>3.53</v>
      </c>
      <c r="N22" s="11">
        <v>4.26</v>
      </c>
      <c r="O22" s="11">
        <v>8.0399999999999991</v>
      </c>
      <c r="P22" s="12">
        <f>10/ListDatas[[#This Row],[10m (s)]]</f>
        <v>5</v>
      </c>
      <c r="Q22" s="12">
        <f>ListDatas[[#This Row],[m.s 10m]]*3.6</f>
        <v>18</v>
      </c>
      <c r="R22" s="12">
        <f>20/ListDatas[[#This Row],[20m (s)]]</f>
        <v>5.6657223796034</v>
      </c>
      <c r="S22" s="12">
        <f>ListDatas[[#This Row],[m.s 20m]]*3.6</f>
        <v>20.396600566572239</v>
      </c>
      <c r="T22" s="12">
        <f>25/ListDatas[[#This Row],[25m (s)]]</f>
        <v>5.868544600938967</v>
      </c>
      <c r="U22" s="12">
        <f>ListDatas[[#This Row],[m.s 25m]]*3.6</f>
        <v>21.12676056338028</v>
      </c>
      <c r="V22" s="12">
        <f>50/ListDatas[[#This Row],[50m (s)]]</f>
        <v>6.2189054726368163</v>
      </c>
      <c r="W22" s="12">
        <f>ListDatas[[#This Row],[m.s 50m]]*3.6</f>
        <v>22.388059701492541</v>
      </c>
      <c r="X22" s="11">
        <v>190</v>
      </c>
      <c r="Z22" s="3"/>
      <c r="AR22" s="3"/>
      <c r="AT22" s="3"/>
    </row>
    <row r="23" spans="1:48" ht="18.75" x14ac:dyDescent="0.3">
      <c r="A23" s="11" t="s">
        <v>47</v>
      </c>
      <c r="B23" s="11" t="s">
        <v>45</v>
      </c>
      <c r="C23" s="11" t="s">
        <v>24</v>
      </c>
      <c r="D23" s="11"/>
      <c r="E23" s="11">
        <v>68.3</v>
      </c>
      <c r="F23" s="11">
        <v>760</v>
      </c>
      <c r="G23" s="11">
        <v>16.5</v>
      </c>
      <c r="H23" s="11">
        <v>45</v>
      </c>
      <c r="I23" s="11">
        <v>50</v>
      </c>
      <c r="J23" s="11">
        <v>92.5</v>
      </c>
      <c r="K23" s="11">
        <v>0</v>
      </c>
      <c r="L23" s="11">
        <v>2.0299999999999998</v>
      </c>
      <c r="M23" s="11">
        <v>3.55</v>
      </c>
      <c r="N23" s="11">
        <v>4.3499999999999996</v>
      </c>
      <c r="O23" s="11">
        <v>8.24</v>
      </c>
      <c r="P23" s="12">
        <f>10/ListDatas[[#This Row],[10m (s)]]</f>
        <v>4.9261083743842367</v>
      </c>
      <c r="Q23" s="12">
        <f>ListDatas[[#This Row],[m.s 10m]]*3.6</f>
        <v>17.733990147783253</v>
      </c>
      <c r="R23" s="12">
        <f>20/ListDatas[[#This Row],[20m (s)]]</f>
        <v>5.6338028169014089</v>
      </c>
      <c r="S23" s="12">
        <f>ListDatas[[#This Row],[m.s 20m]]*3.6</f>
        <v>20.281690140845072</v>
      </c>
      <c r="T23" s="12">
        <f>25/ListDatas[[#This Row],[25m (s)]]</f>
        <v>5.7471264367816097</v>
      </c>
      <c r="U23" s="12">
        <f>ListDatas[[#This Row],[m.s 25m]]*3.6</f>
        <v>20.689655172413797</v>
      </c>
      <c r="V23" s="12">
        <f>50/ListDatas[[#This Row],[50m (s)]]</f>
        <v>6.0679611650485432</v>
      </c>
      <c r="W23" s="12">
        <f>ListDatas[[#This Row],[m.s 50m]]*3.6</f>
        <v>21.844660194174757</v>
      </c>
      <c r="X23" s="11">
        <v>193</v>
      </c>
      <c r="Z23" s="3"/>
      <c r="AB23" s="9"/>
      <c r="AR23" s="3"/>
      <c r="AT23" s="3"/>
    </row>
    <row r="24" spans="1:48" x14ac:dyDescent="0.25">
      <c r="A24" s="11" t="s">
        <v>46</v>
      </c>
      <c r="B24" s="11" t="s">
        <v>45</v>
      </c>
      <c r="C24" s="11" t="s">
        <v>24</v>
      </c>
      <c r="D24" s="11"/>
      <c r="E24" s="11">
        <v>81.3</v>
      </c>
      <c r="F24" s="11">
        <v>440</v>
      </c>
      <c r="G24" s="11">
        <v>13.5</v>
      </c>
      <c r="H24" s="11">
        <v>45</v>
      </c>
      <c r="I24" s="11">
        <v>55</v>
      </c>
      <c r="J24" s="11">
        <v>95</v>
      </c>
      <c r="K24" s="11">
        <v>0</v>
      </c>
      <c r="L24" s="11">
        <v>2.04</v>
      </c>
      <c r="M24" s="11">
        <v>3.59</v>
      </c>
      <c r="N24" s="11">
        <v>4.38</v>
      </c>
      <c r="O24" s="11">
        <v>8.18</v>
      </c>
      <c r="P24" s="12">
        <f>10/ListDatas[[#This Row],[10m (s)]]</f>
        <v>4.9019607843137258</v>
      </c>
      <c r="Q24" s="12">
        <f>ListDatas[[#This Row],[m.s 10m]]*3.6</f>
        <v>17.647058823529413</v>
      </c>
      <c r="R24" s="12">
        <f>20/ListDatas[[#This Row],[20m (s)]]</f>
        <v>5.5710306406685239</v>
      </c>
      <c r="S24" s="12">
        <f>ListDatas[[#This Row],[m.s 20m]]*3.6</f>
        <v>20.055710306406688</v>
      </c>
      <c r="T24" s="12">
        <f>25/ListDatas[[#This Row],[25m (s)]]</f>
        <v>5.7077625570776256</v>
      </c>
      <c r="U24" s="12">
        <f>ListDatas[[#This Row],[m.s 25m]]*3.6</f>
        <v>20.547945205479454</v>
      </c>
      <c r="V24" s="12">
        <f>50/ListDatas[[#This Row],[50m (s)]]</f>
        <v>6.1124694376528117</v>
      </c>
      <c r="W24" s="12">
        <f>ListDatas[[#This Row],[m.s 50m]]*3.6</f>
        <v>22.004889975550121</v>
      </c>
      <c r="X24" s="11">
        <v>180</v>
      </c>
      <c r="Z24" s="3"/>
      <c r="AR24" s="3"/>
      <c r="AT24" s="3"/>
    </row>
    <row r="25" spans="1:48" x14ac:dyDescent="0.25">
      <c r="A25" s="11" t="s">
        <v>27</v>
      </c>
      <c r="B25" s="11" t="s">
        <v>295</v>
      </c>
      <c r="C25" s="11" t="s">
        <v>24</v>
      </c>
      <c r="D25" s="11"/>
      <c r="E25" s="11">
        <v>55.6</v>
      </c>
      <c r="F25" s="13"/>
      <c r="G25" s="13"/>
      <c r="H25" s="11">
        <v>50</v>
      </c>
      <c r="I25" s="11">
        <v>45</v>
      </c>
      <c r="J25" s="11">
        <v>100</v>
      </c>
      <c r="K25" s="11">
        <v>0</v>
      </c>
      <c r="L25" s="11">
        <v>1.84</v>
      </c>
      <c r="M25" s="11">
        <v>3.26</v>
      </c>
      <c r="N25" s="11">
        <v>3.96</v>
      </c>
      <c r="O25" s="11">
        <v>7.48</v>
      </c>
      <c r="P25" s="12">
        <f>10/ListDatas[[#This Row],[10m (s)]]</f>
        <v>5.4347826086956523</v>
      </c>
      <c r="Q25" s="12">
        <f>ListDatas[[#This Row],[m.s 10m]]*3.6</f>
        <v>19.565217391304348</v>
      </c>
      <c r="R25" s="12">
        <f>20/ListDatas[[#This Row],[20m (s)]]</f>
        <v>6.1349693251533743</v>
      </c>
      <c r="S25" s="12">
        <f>ListDatas[[#This Row],[m.s 20m]]*3.6</f>
        <v>22.085889570552148</v>
      </c>
      <c r="T25" s="12">
        <f>25/ListDatas[[#This Row],[25m (s)]]</f>
        <v>6.3131313131313131</v>
      </c>
      <c r="U25" s="12">
        <f>ListDatas[[#This Row],[m.s 25m]]*3.6</f>
        <v>22.727272727272727</v>
      </c>
      <c r="V25" s="12">
        <f>50/ListDatas[[#This Row],[50m (s)]]</f>
        <v>6.6844919786096249</v>
      </c>
      <c r="W25" s="12">
        <f>ListDatas[[#This Row],[m.s 50m]]*3.6</f>
        <v>24.064171122994651</v>
      </c>
      <c r="X25" s="11">
        <v>199</v>
      </c>
      <c r="Z25" s="3"/>
      <c r="AR25" s="3"/>
      <c r="AT25" s="3"/>
    </row>
    <row r="26" spans="1:48" x14ac:dyDescent="0.25">
      <c r="A26" s="11" t="s">
        <v>38</v>
      </c>
      <c r="B26" s="11" t="s">
        <v>296</v>
      </c>
      <c r="C26" s="11" t="s">
        <v>24</v>
      </c>
      <c r="D26" s="11"/>
      <c r="E26" s="11">
        <v>69.2</v>
      </c>
      <c r="F26" s="11">
        <v>760</v>
      </c>
      <c r="G26" s="11">
        <v>15.5</v>
      </c>
      <c r="H26" s="11">
        <v>55</v>
      </c>
      <c r="I26" s="11">
        <v>55</v>
      </c>
      <c r="J26" s="11">
        <v>90</v>
      </c>
      <c r="K26" s="11">
        <v>0</v>
      </c>
      <c r="L26" s="11">
        <v>2.08</v>
      </c>
      <c r="M26" s="11">
        <v>3.59</v>
      </c>
      <c r="N26" s="11">
        <v>4.3099999999999996</v>
      </c>
      <c r="O26" s="11">
        <v>7.98</v>
      </c>
      <c r="P26" s="12">
        <f>10/ListDatas[[#This Row],[10m (s)]]</f>
        <v>4.8076923076923075</v>
      </c>
      <c r="Q26" s="12">
        <f>ListDatas[[#This Row],[m.s 10m]]*3.6</f>
        <v>17.307692307692307</v>
      </c>
      <c r="R26" s="12">
        <f>20/ListDatas[[#This Row],[20m (s)]]</f>
        <v>5.5710306406685239</v>
      </c>
      <c r="S26" s="12">
        <f>ListDatas[[#This Row],[m.s 20m]]*3.6</f>
        <v>20.055710306406688</v>
      </c>
      <c r="T26" s="12">
        <f>25/ListDatas[[#This Row],[25m (s)]]</f>
        <v>5.8004640371229703</v>
      </c>
      <c r="U26" s="12">
        <f>ListDatas[[#This Row],[m.s 25m]]*3.6</f>
        <v>20.881670533642694</v>
      </c>
      <c r="V26" s="12">
        <f>50/ListDatas[[#This Row],[50m (s)]]</f>
        <v>6.2656641604010019</v>
      </c>
      <c r="W26" s="12">
        <f>ListDatas[[#This Row],[m.s 50m]]*3.6</f>
        <v>22.556390977443609</v>
      </c>
      <c r="X26" s="11">
        <v>200</v>
      </c>
      <c r="AR26" s="3"/>
      <c r="AT26" s="3"/>
    </row>
    <row r="27" spans="1:48" x14ac:dyDescent="0.25">
      <c r="A27" s="11" t="s">
        <v>53</v>
      </c>
      <c r="B27" s="11" t="s">
        <v>49</v>
      </c>
      <c r="C27" s="11" t="s">
        <v>24</v>
      </c>
      <c r="D27" s="11"/>
      <c r="E27" s="11">
        <v>71.900000000000006</v>
      </c>
      <c r="F27" s="11">
        <v>440</v>
      </c>
      <c r="G27" s="11">
        <v>15.5</v>
      </c>
      <c r="H27" s="11">
        <v>42.5</v>
      </c>
      <c r="I27" s="11">
        <v>49</v>
      </c>
      <c r="J27" s="11">
        <v>80</v>
      </c>
      <c r="K27" s="11">
        <v>0</v>
      </c>
      <c r="L27" s="11">
        <v>2.0499999999999998</v>
      </c>
      <c r="M27" s="11">
        <v>3.68</v>
      </c>
      <c r="N27" s="11">
        <v>4.41</v>
      </c>
      <c r="O27" s="11">
        <v>8.5</v>
      </c>
      <c r="P27" s="12">
        <f>10/ListDatas[[#This Row],[10m (s)]]</f>
        <v>4.8780487804878057</v>
      </c>
      <c r="Q27" s="12">
        <f>ListDatas[[#This Row],[m.s 10m]]*3.6</f>
        <v>17.560975609756103</v>
      </c>
      <c r="R27" s="12">
        <f>20/ListDatas[[#This Row],[20m (s)]]</f>
        <v>5.4347826086956523</v>
      </c>
      <c r="S27" s="12">
        <f>ListDatas[[#This Row],[m.s 20m]]*3.6</f>
        <v>19.565217391304348</v>
      </c>
      <c r="T27" s="12">
        <f>25/ListDatas[[#This Row],[25m (s)]]</f>
        <v>5.6689342403628116</v>
      </c>
      <c r="U27" s="12">
        <f>ListDatas[[#This Row],[m.s 25m]]*3.6</f>
        <v>20.408163265306122</v>
      </c>
      <c r="V27" s="12">
        <f>50/ListDatas[[#This Row],[50m (s)]]</f>
        <v>5.882352941176471</v>
      </c>
      <c r="W27" s="12">
        <f>ListDatas[[#This Row],[m.s 50m]]*3.6</f>
        <v>21.176470588235297</v>
      </c>
      <c r="X27" s="11">
        <v>185</v>
      </c>
      <c r="AT27" s="4"/>
      <c r="AV27" s="3"/>
    </row>
    <row r="28" spans="1:48" x14ac:dyDescent="0.25">
      <c r="A28" s="11" t="s">
        <v>25</v>
      </c>
      <c r="B28" s="11" t="s">
        <v>295</v>
      </c>
      <c r="C28" s="11" t="s">
        <v>24</v>
      </c>
      <c r="D28" s="11"/>
      <c r="E28" s="11">
        <v>60.1</v>
      </c>
      <c r="F28" s="11">
        <v>880</v>
      </c>
      <c r="G28" s="11">
        <v>15.5</v>
      </c>
      <c r="H28" s="11">
        <v>37.5</v>
      </c>
      <c r="I28" s="11">
        <v>50</v>
      </c>
      <c r="J28" s="11">
        <v>80</v>
      </c>
      <c r="K28" s="11">
        <v>0</v>
      </c>
      <c r="L28" s="11">
        <v>1.92</v>
      </c>
      <c r="M28" s="11">
        <v>3.3</v>
      </c>
      <c r="N28" s="11">
        <v>3.99</v>
      </c>
      <c r="O28" s="11">
        <v>7.36</v>
      </c>
      <c r="P28" s="12">
        <f>10/ListDatas[[#This Row],[10m (s)]]</f>
        <v>5.2083333333333339</v>
      </c>
      <c r="Q28" s="12">
        <f>ListDatas[[#This Row],[m.s 10m]]*3.6</f>
        <v>18.750000000000004</v>
      </c>
      <c r="R28" s="12">
        <f>20/ListDatas[[#This Row],[20m (s)]]</f>
        <v>6.0606060606060606</v>
      </c>
      <c r="S28" s="12">
        <f>ListDatas[[#This Row],[m.s 20m]]*3.6</f>
        <v>21.81818181818182</v>
      </c>
      <c r="T28" s="12">
        <f>25/ListDatas[[#This Row],[25m (s)]]</f>
        <v>6.2656641604010019</v>
      </c>
      <c r="U28" s="12">
        <f>ListDatas[[#This Row],[m.s 25m]]*3.6</f>
        <v>22.556390977443609</v>
      </c>
      <c r="V28" s="12">
        <f>50/ListDatas[[#This Row],[50m (s)]]</f>
        <v>6.7934782608695645</v>
      </c>
      <c r="W28" s="12">
        <f>ListDatas[[#This Row],[m.s 50m]]*3.6</f>
        <v>24.456521739130434</v>
      </c>
      <c r="X28" s="11">
        <v>203</v>
      </c>
    </row>
    <row r="29" spans="1:48" x14ac:dyDescent="0.25">
      <c r="A29" s="11" t="s">
        <v>51</v>
      </c>
      <c r="B29" s="11" t="s">
        <v>29</v>
      </c>
      <c r="C29" s="11" t="s">
        <v>24</v>
      </c>
      <c r="D29" s="11"/>
      <c r="E29" s="11">
        <v>64.7</v>
      </c>
      <c r="F29" s="11">
        <v>1040</v>
      </c>
      <c r="G29" s="11">
        <v>16.5</v>
      </c>
      <c r="H29" s="11">
        <v>43</v>
      </c>
      <c r="I29" s="11">
        <v>50</v>
      </c>
      <c r="J29" s="11">
        <v>85</v>
      </c>
      <c r="K29" s="11">
        <v>0</v>
      </c>
      <c r="L29" s="11">
        <v>2.02</v>
      </c>
      <c r="M29" s="11">
        <v>3.52</v>
      </c>
      <c r="N29" s="11">
        <v>4.41</v>
      </c>
      <c r="O29" s="11">
        <v>8.4700000000000006</v>
      </c>
      <c r="P29" s="12">
        <f>10/ListDatas[[#This Row],[10m (s)]]</f>
        <v>4.9504950495049505</v>
      </c>
      <c r="Q29" s="12">
        <f>ListDatas[[#This Row],[m.s 10m]]*3.6</f>
        <v>17.821782178217823</v>
      </c>
      <c r="R29" s="12">
        <f>20/ListDatas[[#This Row],[20m (s)]]</f>
        <v>5.6818181818181817</v>
      </c>
      <c r="S29" s="12">
        <f>ListDatas[[#This Row],[m.s 20m]]*3.6</f>
        <v>20.454545454545453</v>
      </c>
      <c r="T29" s="12">
        <f>25/ListDatas[[#This Row],[25m (s)]]</f>
        <v>5.6689342403628116</v>
      </c>
      <c r="U29" s="12">
        <f>ListDatas[[#This Row],[m.s 25m]]*3.6</f>
        <v>20.408163265306122</v>
      </c>
      <c r="V29" s="12">
        <f>50/ListDatas[[#This Row],[50m (s)]]</f>
        <v>5.9031877213695392</v>
      </c>
      <c r="W29" s="12">
        <f>ListDatas[[#This Row],[m.s 50m]]*3.6</f>
        <v>21.251475796930343</v>
      </c>
      <c r="X29" s="11">
        <v>183</v>
      </c>
      <c r="Y29" s="1"/>
      <c r="Z29" s="8"/>
      <c r="AA29" s="1"/>
      <c r="AB29" s="1"/>
    </row>
    <row r="30" spans="1:48" x14ac:dyDescent="0.25">
      <c r="A30" s="11" t="s">
        <v>32</v>
      </c>
      <c r="B30" s="11" t="s">
        <v>296</v>
      </c>
      <c r="C30" s="11" t="s">
        <v>24</v>
      </c>
      <c r="D30" s="11"/>
      <c r="E30" s="11">
        <v>69.900000000000006</v>
      </c>
      <c r="F30" s="11">
        <v>560</v>
      </c>
      <c r="G30" s="13"/>
      <c r="H30" s="11">
        <v>42.5</v>
      </c>
      <c r="I30" s="11">
        <v>52.5</v>
      </c>
      <c r="J30" s="11">
        <v>100</v>
      </c>
      <c r="K30" s="11">
        <v>0</v>
      </c>
      <c r="L30" s="11">
        <v>1.94</v>
      </c>
      <c r="M30" s="11">
        <v>3.39</v>
      </c>
      <c r="N30" s="11">
        <v>4.07</v>
      </c>
      <c r="O30" s="11">
        <v>7.62</v>
      </c>
      <c r="P30" s="12">
        <f>10/ListDatas[[#This Row],[10m (s)]]</f>
        <v>5.1546391752577323</v>
      </c>
      <c r="Q30" s="12">
        <f>ListDatas[[#This Row],[m.s 10m]]*3.6</f>
        <v>18.556701030927837</v>
      </c>
      <c r="R30" s="12">
        <f>20/ListDatas[[#This Row],[20m (s)]]</f>
        <v>5.8997050147492622</v>
      </c>
      <c r="S30" s="12">
        <f>ListDatas[[#This Row],[m.s 20m]]*3.6</f>
        <v>21.238938053097346</v>
      </c>
      <c r="T30" s="12">
        <f>25/ListDatas[[#This Row],[25m (s)]]</f>
        <v>6.142506142506142</v>
      </c>
      <c r="U30" s="12">
        <f>ListDatas[[#This Row],[m.s 25m]]*3.6</f>
        <v>22.113022113022112</v>
      </c>
      <c r="V30" s="12">
        <f>50/ListDatas[[#This Row],[50m (s)]]</f>
        <v>6.5616797900262469</v>
      </c>
      <c r="W30" s="12">
        <f>ListDatas[[#This Row],[m.s 50m]]*3.6</f>
        <v>23.622047244094489</v>
      </c>
      <c r="X30" s="11">
        <v>202</v>
      </c>
    </row>
    <row r="31" spans="1:48" x14ac:dyDescent="0.25">
      <c r="A31" s="11" t="s">
        <v>64</v>
      </c>
      <c r="B31" s="11"/>
      <c r="C31" s="11" t="s">
        <v>294</v>
      </c>
      <c r="D31" s="11"/>
      <c r="E31" s="11">
        <v>74.3</v>
      </c>
      <c r="F31" s="11">
        <v>360</v>
      </c>
      <c r="G31" s="13"/>
      <c r="H31" s="13"/>
      <c r="I31" s="13"/>
      <c r="J31" s="13"/>
      <c r="K31" s="11">
        <v>0</v>
      </c>
      <c r="L31" s="13"/>
      <c r="M31" s="13"/>
      <c r="N31" s="13"/>
      <c r="O31" s="13"/>
      <c r="P31" s="12" t="e">
        <f>10/ListDatas[[#This Row],[10m (s)]]</f>
        <v>#DIV/0!</v>
      </c>
      <c r="Q31" s="12" t="e">
        <f>ListDatas[[#This Row],[m.s 10m]]*3.6</f>
        <v>#DIV/0!</v>
      </c>
      <c r="R31" s="12" t="e">
        <f>20/ListDatas[[#This Row],[20m (s)]]</f>
        <v>#DIV/0!</v>
      </c>
      <c r="S31" s="12" t="e">
        <f>ListDatas[[#This Row],[m.s 20m]]*3.6</f>
        <v>#DIV/0!</v>
      </c>
      <c r="T31" s="12" t="e">
        <f>25/ListDatas[[#This Row],[25m (s)]]</f>
        <v>#DIV/0!</v>
      </c>
      <c r="U31" s="12" t="e">
        <f>ListDatas[[#This Row],[m.s 25m]]*3.6</f>
        <v>#DIV/0!</v>
      </c>
      <c r="V31" s="11" t="e">
        <f>50/ListDatas[[#This Row],[50m (s)]]</f>
        <v>#DIV/0!</v>
      </c>
      <c r="W31" s="12" t="e">
        <f>ListDatas[[#This Row],[m.s 50m]]*3.6</f>
        <v>#DIV/0!</v>
      </c>
      <c r="X31" s="13"/>
    </row>
    <row r="32" spans="1:48" x14ac:dyDescent="0.25">
      <c r="A32" s="11" t="s">
        <v>39</v>
      </c>
      <c r="B32" s="11" t="s">
        <v>295</v>
      </c>
      <c r="C32" s="11" t="s">
        <v>24</v>
      </c>
      <c r="D32" s="11"/>
      <c r="E32" s="11">
        <v>54.9</v>
      </c>
      <c r="F32" s="11">
        <v>1040</v>
      </c>
      <c r="G32" s="11">
        <v>17</v>
      </c>
      <c r="H32" s="11">
        <v>37.5</v>
      </c>
      <c r="I32" s="11">
        <v>49</v>
      </c>
      <c r="J32" s="11">
        <v>80</v>
      </c>
      <c r="K32" s="11">
        <v>0</v>
      </c>
      <c r="L32" s="11">
        <v>1.97</v>
      </c>
      <c r="M32" s="11">
        <v>3.47</v>
      </c>
      <c r="N32" s="11">
        <v>4.28</v>
      </c>
      <c r="O32" s="11">
        <v>8.02</v>
      </c>
      <c r="P32" s="12">
        <f>10/ListDatas[[#This Row],[10m (s)]]</f>
        <v>5.0761421319796955</v>
      </c>
      <c r="Q32" s="12">
        <f>ListDatas[[#This Row],[m.s 10m]]*3.6</f>
        <v>18.274111675126903</v>
      </c>
      <c r="R32" s="12">
        <f>20/ListDatas[[#This Row],[20m (s)]]</f>
        <v>5.7636887608069163</v>
      </c>
      <c r="S32" s="12">
        <f>ListDatas[[#This Row],[m.s 20m]]*3.6</f>
        <v>20.749279538904901</v>
      </c>
      <c r="T32" s="12">
        <f>25/ListDatas[[#This Row],[25m (s)]]</f>
        <v>5.8411214953271022</v>
      </c>
      <c r="U32" s="12">
        <f>ListDatas[[#This Row],[m.s 25m]]*3.6</f>
        <v>21.028037383177569</v>
      </c>
      <c r="V32" s="12">
        <f>50/ListDatas[[#This Row],[50m (s)]]</f>
        <v>6.2344139650872821</v>
      </c>
      <c r="W32" s="12">
        <f>ListDatas[[#This Row],[m.s 50m]]*3.6</f>
        <v>22.443890274314217</v>
      </c>
      <c r="X32" s="11">
        <v>175</v>
      </c>
    </row>
    <row r="33" spans="1:36" x14ac:dyDescent="0.25">
      <c r="A33" s="11" t="s">
        <v>30</v>
      </c>
      <c r="B33" s="11" t="s">
        <v>31</v>
      </c>
      <c r="C33" s="11" t="s">
        <v>24</v>
      </c>
      <c r="D33" s="11"/>
      <c r="E33" s="11">
        <v>65.400000000000006</v>
      </c>
      <c r="F33" s="11">
        <v>760</v>
      </c>
      <c r="G33" s="11">
        <v>16.5</v>
      </c>
      <c r="H33" s="11">
        <v>55</v>
      </c>
      <c r="I33" s="11">
        <v>55</v>
      </c>
      <c r="J33" s="11">
        <v>110</v>
      </c>
      <c r="K33" s="11">
        <v>0</v>
      </c>
      <c r="L33" s="11">
        <v>1.99</v>
      </c>
      <c r="M33" s="11">
        <v>3.43</v>
      </c>
      <c r="N33" s="11">
        <v>4.12</v>
      </c>
      <c r="O33" s="11">
        <v>7.61</v>
      </c>
      <c r="P33" s="12">
        <f>10/ListDatas[[#This Row],[10m (s)]]</f>
        <v>5.025125628140704</v>
      </c>
      <c r="Q33" s="12">
        <f>ListDatas[[#This Row],[m.s 10m]]*3.6</f>
        <v>18.090452261306535</v>
      </c>
      <c r="R33" s="12">
        <f>20/ListDatas[[#This Row],[20m (s)]]</f>
        <v>5.8309037900874632</v>
      </c>
      <c r="S33" s="12">
        <f>ListDatas[[#This Row],[m.s 20m]]*3.6</f>
        <v>20.991253644314867</v>
      </c>
      <c r="T33" s="12">
        <f>25/ListDatas[[#This Row],[25m (s)]]</f>
        <v>6.0679611650485432</v>
      </c>
      <c r="U33" s="12">
        <f>ListDatas[[#This Row],[m.s 25m]]*3.6</f>
        <v>21.844660194174757</v>
      </c>
      <c r="V33" s="12">
        <f>50/ListDatas[[#This Row],[50m (s)]]</f>
        <v>6.5703022339027592</v>
      </c>
      <c r="W33" s="12">
        <f>ListDatas[[#This Row],[m.s 50m]]*3.6</f>
        <v>23.653088042049934</v>
      </c>
      <c r="X33" s="21">
        <v>192</v>
      </c>
    </row>
    <row r="34" spans="1:36" x14ac:dyDescent="0.25">
      <c r="A34" s="11" t="s">
        <v>33</v>
      </c>
      <c r="B34" s="11" t="s">
        <v>295</v>
      </c>
      <c r="C34" s="11" t="s">
        <v>24</v>
      </c>
      <c r="D34" s="11"/>
      <c r="E34" s="11">
        <v>65.099999999999994</v>
      </c>
      <c r="F34" s="11">
        <v>1080</v>
      </c>
      <c r="G34" s="11">
        <v>17</v>
      </c>
      <c r="H34" s="11">
        <v>35</v>
      </c>
      <c r="I34" s="11">
        <v>55</v>
      </c>
      <c r="J34" s="11">
        <v>90</v>
      </c>
      <c r="K34" s="11">
        <v>0</v>
      </c>
      <c r="L34" s="11">
        <v>1.95</v>
      </c>
      <c r="M34" s="11">
        <v>3.37</v>
      </c>
      <c r="N34" s="11">
        <v>4.0999999999999996</v>
      </c>
      <c r="O34" s="11">
        <v>7.69</v>
      </c>
      <c r="P34" s="12">
        <f>10/ListDatas[[#This Row],[10m (s)]]</f>
        <v>5.1282051282051286</v>
      </c>
      <c r="Q34" s="12">
        <f>ListDatas[[#This Row],[m.s 10m]]*3.6</f>
        <v>18.461538461538463</v>
      </c>
      <c r="R34" s="12">
        <f>20/ListDatas[[#This Row],[20m (s)]]</f>
        <v>5.9347181008902075</v>
      </c>
      <c r="S34" s="12">
        <f>ListDatas[[#This Row],[m.s 20m]]*3.6</f>
        <v>21.364985163204746</v>
      </c>
      <c r="T34" s="12">
        <f>25/ListDatas[[#This Row],[25m (s)]]</f>
        <v>6.0975609756097562</v>
      </c>
      <c r="U34" s="12">
        <f>ListDatas[[#This Row],[m.s 25m]]*3.6</f>
        <v>21.951219512195124</v>
      </c>
      <c r="V34" s="12">
        <f>50/ListDatas[[#This Row],[50m (s)]]</f>
        <v>6.5019505851755524</v>
      </c>
      <c r="W34" s="12">
        <f>ListDatas[[#This Row],[m.s 50m]]*3.6</f>
        <v>23.407022106631988</v>
      </c>
      <c r="X34" s="11">
        <v>192</v>
      </c>
    </row>
    <row r="35" spans="1:36" x14ac:dyDescent="0.25">
      <c r="A35" s="11" t="s">
        <v>40</v>
      </c>
      <c r="B35" s="11" t="s">
        <v>31</v>
      </c>
      <c r="C35" s="11" t="s">
        <v>24</v>
      </c>
      <c r="D35" s="11"/>
      <c r="E35" s="11">
        <v>58.1</v>
      </c>
      <c r="F35" s="11">
        <v>720</v>
      </c>
      <c r="G35" s="11">
        <v>15.5</v>
      </c>
      <c r="H35" s="11">
        <v>35</v>
      </c>
      <c r="I35" s="11">
        <v>42.5</v>
      </c>
      <c r="J35" s="11">
        <v>75</v>
      </c>
      <c r="K35" s="11">
        <v>0</v>
      </c>
      <c r="L35" s="11">
        <v>1.99</v>
      </c>
      <c r="M35" s="11">
        <v>3.52</v>
      </c>
      <c r="N35" s="11">
        <v>4.22</v>
      </c>
      <c r="O35" s="11">
        <v>8.0299999999999994</v>
      </c>
      <c r="P35" s="12">
        <f>10/ListDatas[[#This Row],[10m (s)]]</f>
        <v>5.025125628140704</v>
      </c>
      <c r="Q35" s="12">
        <f>ListDatas[[#This Row],[m.s 10m]]*3.6</f>
        <v>18.090452261306535</v>
      </c>
      <c r="R35" s="12">
        <f>20/ListDatas[[#This Row],[20m (s)]]</f>
        <v>5.6818181818181817</v>
      </c>
      <c r="S35" s="12">
        <f>ListDatas[[#This Row],[m.s 20m]]*3.6</f>
        <v>20.454545454545453</v>
      </c>
      <c r="T35" s="12">
        <f>25/ListDatas[[#This Row],[25m (s)]]</f>
        <v>5.9241706161137442</v>
      </c>
      <c r="U35" s="12">
        <f>ListDatas[[#This Row],[m.s 25m]]*3.6</f>
        <v>21.327014218009481</v>
      </c>
      <c r="V35" s="12">
        <f>50/ListDatas[[#This Row],[50m (s)]]</f>
        <v>6.2266500622665015</v>
      </c>
      <c r="W35" s="12">
        <f>ListDatas[[#This Row],[m.s 50m]]*3.6</f>
        <v>22.415940224159407</v>
      </c>
      <c r="X35" s="11">
        <v>189</v>
      </c>
    </row>
    <row r="36" spans="1:36" x14ac:dyDescent="0.25">
      <c r="A36" s="11" t="s">
        <v>65</v>
      </c>
      <c r="B36" s="11" t="s">
        <v>29</v>
      </c>
      <c r="C36" s="11" t="s">
        <v>24</v>
      </c>
      <c r="D36" s="11"/>
      <c r="E36" s="11">
        <v>66.3</v>
      </c>
      <c r="F36" s="11">
        <v>640</v>
      </c>
      <c r="G36" s="11">
        <v>14</v>
      </c>
      <c r="H36" s="11">
        <v>38</v>
      </c>
      <c r="I36" s="11">
        <v>38.5</v>
      </c>
      <c r="J36" s="11">
        <v>80</v>
      </c>
      <c r="K36" s="11">
        <v>0</v>
      </c>
      <c r="L36" s="11">
        <v>2.19</v>
      </c>
      <c r="M36" s="11">
        <v>3.88</v>
      </c>
      <c r="N36" s="13"/>
      <c r="O36" s="13"/>
      <c r="P36" s="12">
        <f>10/ListDatas[[#This Row],[10m (s)]]</f>
        <v>4.5662100456621006</v>
      </c>
      <c r="Q36" s="12">
        <f>ListDatas[[#This Row],[m.s 10m]]*3.6</f>
        <v>16.438356164383563</v>
      </c>
      <c r="R36" s="12">
        <f>20/ListDatas[[#This Row],[20m (s)]]</f>
        <v>5.1546391752577323</v>
      </c>
      <c r="S36" s="12">
        <f>ListDatas[[#This Row],[m.s 20m]]*3.6</f>
        <v>18.556701030927837</v>
      </c>
      <c r="T36" s="12" t="e">
        <f>25/ListDatas[[#This Row],[25m (s)]]</f>
        <v>#DIV/0!</v>
      </c>
      <c r="U36" s="12" t="e">
        <f>ListDatas[[#This Row],[m.s 25m]]*3.6</f>
        <v>#DIV/0!</v>
      </c>
      <c r="V36" s="12" t="e">
        <f>50/ListDatas[[#This Row],[50m (s)]]</f>
        <v>#DIV/0!</v>
      </c>
      <c r="W36" s="12" t="e">
        <f>ListDatas[[#This Row],[m.s 50m]]*3.6</f>
        <v>#DIV/0!</v>
      </c>
      <c r="X36" s="11">
        <v>164</v>
      </c>
    </row>
    <row r="37" spans="1:36" x14ac:dyDescent="0.25">
      <c r="A37" s="11" t="s">
        <v>54</v>
      </c>
      <c r="B37" s="11" t="s">
        <v>49</v>
      </c>
      <c r="C37" s="11" t="s">
        <v>24</v>
      </c>
      <c r="D37" s="11"/>
      <c r="E37" s="11">
        <v>63.9</v>
      </c>
      <c r="F37" s="11">
        <v>920</v>
      </c>
      <c r="G37" s="11">
        <v>17</v>
      </c>
      <c r="H37" s="11">
        <v>50</v>
      </c>
      <c r="I37" s="11">
        <v>40</v>
      </c>
      <c r="J37" s="11">
        <v>100</v>
      </c>
      <c r="K37" s="11">
        <v>0</v>
      </c>
      <c r="L37" s="11">
        <v>2.0699999999999998</v>
      </c>
      <c r="M37" s="11">
        <v>3.65</v>
      </c>
      <c r="N37" s="11">
        <v>4.55</v>
      </c>
      <c r="O37" s="11">
        <v>8.64</v>
      </c>
      <c r="P37" s="12">
        <f>10/ListDatas[[#This Row],[10m (s)]]</f>
        <v>4.8309178743961354</v>
      </c>
      <c r="Q37" s="12">
        <f>ListDatas[[#This Row],[m.s 10m]]*3.6</f>
        <v>17.39130434782609</v>
      </c>
      <c r="R37" s="12">
        <f>20/ListDatas[[#This Row],[20m (s)]]</f>
        <v>5.4794520547945202</v>
      </c>
      <c r="S37" s="12">
        <f>ListDatas[[#This Row],[m.s 20m]]*3.6</f>
        <v>19.726027397260275</v>
      </c>
      <c r="T37" s="12">
        <f>25/ListDatas[[#This Row],[25m (s)]]</f>
        <v>5.4945054945054945</v>
      </c>
      <c r="U37" s="12">
        <f>ListDatas[[#This Row],[m.s 25m]]*3.6</f>
        <v>19.780219780219781</v>
      </c>
      <c r="V37" s="12">
        <f>50/ListDatas[[#This Row],[50m (s)]]</f>
        <v>5.7870370370370363</v>
      </c>
      <c r="W37" s="12">
        <f>ListDatas[[#This Row],[m.s 50m]]*3.6</f>
        <v>20.833333333333332</v>
      </c>
      <c r="X37" s="11">
        <v>167</v>
      </c>
    </row>
    <row r="38" spans="1:36" x14ac:dyDescent="0.25">
      <c r="G38">
        <v>72.5</v>
      </c>
      <c r="AJ38" t="e">
        <f>"Performance de " &amp;#REF! &amp;" en sprint (s)"</f>
        <v>#REF!</v>
      </c>
    </row>
  </sheetData>
  <phoneticPr fontId="3" type="noConversion"/>
  <dataValidations count="2">
    <dataValidation type="list" allowBlank="1" showInputMessage="1" showErrorMessage="1" sqref="Z1" xr:uid="{9BA2B7C2-31B5-43E0-99A9-03418867D6C0}">
      <formula1>$A$1:$X$1</formula1>
    </dataValidation>
    <dataValidation type="list" allowBlank="1" showInputMessage="1" showErrorMessage="1" sqref="B2:B37" xr:uid="{32E86963-F518-4056-9FAE-A48007A34BA0}">
      <formula1>ListPoste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1DB5D-D660-4398-B972-4DDBF350CE89}">
  <dimension ref="A1:AF48"/>
  <sheetViews>
    <sheetView zoomScale="70" zoomScaleNormal="70" workbookViewId="0">
      <pane xSplit="1" topLeftCell="B1" activePane="topRight" state="frozen"/>
      <selection pane="topRight" activeCell="AC2" sqref="AC2:AC37"/>
    </sheetView>
  </sheetViews>
  <sheetFormatPr baseColWidth="10" defaultColWidth="10.7109375" defaultRowHeight="15" x14ac:dyDescent="0.25"/>
  <cols>
    <col min="5" max="5" width="13.7109375" bestFit="1" customWidth="1"/>
    <col min="6" max="6" width="23.85546875" bestFit="1" customWidth="1"/>
    <col min="7" max="8" width="15" bestFit="1" customWidth="1"/>
    <col min="9" max="9" width="15.42578125" bestFit="1" customWidth="1"/>
    <col min="10" max="10" width="15.140625" bestFit="1" customWidth="1"/>
    <col min="11" max="11" width="15.42578125" bestFit="1" customWidth="1"/>
    <col min="12" max="12" width="15.140625" bestFit="1" customWidth="1"/>
    <col min="13" max="13" width="15.42578125" bestFit="1" customWidth="1"/>
    <col min="14" max="14" width="15.140625" bestFit="1" customWidth="1"/>
    <col min="17" max="17" width="21.42578125" bestFit="1" customWidth="1"/>
    <col min="18" max="18" width="21.85546875" bestFit="1" customWidth="1"/>
    <col min="19" max="19" width="12.140625" bestFit="1" customWidth="1"/>
    <col min="21" max="21" width="12.140625" bestFit="1" customWidth="1"/>
    <col min="23" max="23" width="12.140625" bestFit="1" customWidth="1"/>
    <col min="32" max="32" width="19.28515625" bestFit="1" customWidth="1"/>
  </cols>
  <sheetData>
    <row r="1" spans="1:32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26" t="s">
        <v>303</v>
      </c>
      <c r="G1" s="10" t="s">
        <v>293</v>
      </c>
      <c r="H1" s="10" t="s">
        <v>5</v>
      </c>
      <c r="I1" s="10" t="s">
        <v>304</v>
      </c>
      <c r="J1" s="24" t="s">
        <v>305</v>
      </c>
      <c r="K1" s="10" t="s">
        <v>306</v>
      </c>
      <c r="L1" s="24" t="s">
        <v>307</v>
      </c>
      <c r="M1" s="10" t="s">
        <v>308</v>
      </c>
      <c r="N1" s="24" t="s">
        <v>309</v>
      </c>
      <c r="O1" t="s">
        <v>9</v>
      </c>
      <c r="P1" s="10" t="s">
        <v>311</v>
      </c>
      <c r="Q1" s="24" t="s">
        <v>310</v>
      </c>
      <c r="R1" s="10" t="s">
        <v>312</v>
      </c>
      <c r="S1" s="24" t="s">
        <v>313</v>
      </c>
      <c r="T1" s="10" t="s">
        <v>314</v>
      </c>
      <c r="U1" s="24" t="s">
        <v>315</v>
      </c>
      <c r="V1" s="10" t="s">
        <v>316</v>
      </c>
      <c r="W1" s="24" t="s">
        <v>317</v>
      </c>
      <c r="X1" s="10" t="s">
        <v>14</v>
      </c>
      <c r="Y1" s="10" t="s">
        <v>15</v>
      </c>
      <c r="Z1" s="10" t="s">
        <v>16</v>
      </c>
      <c r="AA1" s="10" t="s">
        <v>17</v>
      </c>
      <c r="AB1" s="10" t="s">
        <v>18</v>
      </c>
      <c r="AC1" s="10" t="s">
        <v>19</v>
      </c>
      <c r="AD1" s="10" t="s">
        <v>20</v>
      </c>
      <c r="AE1" s="10" t="s">
        <v>21</v>
      </c>
      <c r="AF1" s="10" t="s">
        <v>22</v>
      </c>
    </row>
    <row r="2" spans="1:32" hidden="1" x14ac:dyDescent="0.25">
      <c r="A2" s="11" t="s">
        <v>56</v>
      </c>
      <c r="B2" s="11" t="s">
        <v>45</v>
      </c>
      <c r="C2" s="11" t="s">
        <v>24</v>
      </c>
      <c r="D2" s="11"/>
      <c r="E2" s="11">
        <v>70.400000000000006</v>
      </c>
      <c r="F2" s="25">
        <v>70.7</v>
      </c>
      <c r="G2" s="11">
        <v>560</v>
      </c>
      <c r="H2" s="11">
        <v>15</v>
      </c>
      <c r="I2" s="11">
        <v>37.5</v>
      </c>
      <c r="J2" s="25">
        <v>42.5</v>
      </c>
      <c r="K2" s="11">
        <v>42.5</v>
      </c>
      <c r="L2" s="25">
        <v>50</v>
      </c>
      <c r="M2" s="11">
        <v>85</v>
      </c>
      <c r="N2" s="25">
        <v>95</v>
      </c>
      <c r="O2" s="10">
        <v>0</v>
      </c>
      <c r="P2" s="11">
        <v>2.11</v>
      </c>
      <c r="Q2" s="25">
        <v>2.04</v>
      </c>
      <c r="R2" s="11">
        <v>3.76</v>
      </c>
      <c r="S2" s="25">
        <v>3.66</v>
      </c>
      <c r="T2" s="11">
        <v>4.5999999999999996</v>
      </c>
      <c r="U2" s="25">
        <v>4.4400000000000004</v>
      </c>
      <c r="V2" s="11">
        <v>8.7799999999999994</v>
      </c>
      <c r="W2" s="25">
        <v>8.41</v>
      </c>
      <c r="X2" s="12">
        <f>10/ListDatas5[[#This Row],[10m (s) (avant)]]</f>
        <v>4.7393364928909953</v>
      </c>
      <c r="Y2" s="12">
        <f>ListDatas5[[#This Row],[m.s 10m]]*3.6</f>
        <v>17.061611374407583</v>
      </c>
      <c r="Z2" s="12">
        <f>20/ListDatas5[[#This Row],[20m (s) (avant)]]</f>
        <v>5.3191489361702127</v>
      </c>
      <c r="AA2" s="12">
        <f>ListDatas5[[#This Row],[m.s 20m]]*3.6</f>
        <v>19.148936170212767</v>
      </c>
      <c r="AB2" s="12">
        <f>25/ListDatas5[[#This Row],[25m (s) (avant)]]</f>
        <v>5.4347826086956523</v>
      </c>
      <c r="AC2" s="12">
        <f>ListDatas5[[#This Row],[m.s 25m]]*3.6</f>
        <v>19.565217391304348</v>
      </c>
      <c r="AD2" s="12">
        <f>50/ListDatas5[[#This Row],[50m (s) (avant)]]</f>
        <v>5.6947608200455582</v>
      </c>
      <c r="AE2" s="12">
        <f>ListDatas5[[#This Row],[m.s 50m]]*3.6</f>
        <v>20.501138952164009</v>
      </c>
      <c r="AF2" s="11">
        <v>170</v>
      </c>
    </row>
    <row r="3" spans="1:32" x14ac:dyDescent="0.25">
      <c r="A3" s="11" t="s">
        <v>35</v>
      </c>
      <c r="B3" s="11" t="s">
        <v>36</v>
      </c>
      <c r="C3" s="11" t="s">
        <v>24</v>
      </c>
      <c r="D3" s="11"/>
      <c r="E3" s="11">
        <v>61.5</v>
      </c>
      <c r="F3" s="25">
        <v>61.7</v>
      </c>
      <c r="G3" s="11">
        <v>1480</v>
      </c>
      <c r="H3" s="11">
        <v>17</v>
      </c>
      <c r="I3" s="11">
        <v>37.5</v>
      </c>
      <c r="J3" s="25">
        <v>45</v>
      </c>
      <c r="K3" s="11">
        <v>47.5</v>
      </c>
      <c r="L3" s="25">
        <v>50</v>
      </c>
      <c r="M3" s="11">
        <v>75</v>
      </c>
      <c r="N3" s="25">
        <v>125</v>
      </c>
      <c r="O3" s="11">
        <v>0</v>
      </c>
      <c r="P3" s="11">
        <v>1.97</v>
      </c>
      <c r="Q3" s="25">
        <v>1.82</v>
      </c>
      <c r="R3" s="11">
        <v>3.43</v>
      </c>
      <c r="S3" s="25">
        <v>3.26</v>
      </c>
      <c r="T3" s="11">
        <v>4.28</v>
      </c>
      <c r="U3" s="25">
        <v>3.92</v>
      </c>
      <c r="V3" s="11">
        <v>7.74</v>
      </c>
      <c r="W3" s="25">
        <v>7.27</v>
      </c>
      <c r="X3" s="12">
        <f>10/ListDatas5[[#This Row],[10m (s) (avant)]]</f>
        <v>5.0761421319796955</v>
      </c>
      <c r="Y3" s="12">
        <f>ListDatas5[[#This Row],[m.s 10m]]*3.6</f>
        <v>18.274111675126903</v>
      </c>
      <c r="Z3" s="12">
        <f>20/ListDatas5[[#This Row],[20m (s) (avant)]]</f>
        <v>5.8309037900874632</v>
      </c>
      <c r="AA3" s="12">
        <f>ListDatas5[[#This Row],[m.s 20m]]*3.6</f>
        <v>20.991253644314867</v>
      </c>
      <c r="AB3" s="12">
        <f>25/ListDatas5[[#This Row],[25m (s) (avant)]]</f>
        <v>5.8411214953271022</v>
      </c>
      <c r="AC3" s="12">
        <f>ListDatas5[[#This Row],[m.s 25m]]*3.6</f>
        <v>21.028037383177569</v>
      </c>
      <c r="AD3" s="12">
        <f>50/ListDatas5[[#This Row],[50m (s) (avant)]]</f>
        <v>6.4599483204134369</v>
      </c>
      <c r="AE3" s="12">
        <f>ListDatas5[[#This Row],[m.s 50m]]*3.6</f>
        <v>23.255813953488374</v>
      </c>
      <c r="AF3" s="11">
        <v>193</v>
      </c>
    </row>
    <row r="4" spans="1:32" hidden="1" x14ac:dyDescent="0.25">
      <c r="A4" s="11" t="s">
        <v>44</v>
      </c>
      <c r="B4" s="11" t="s">
        <v>45</v>
      </c>
      <c r="C4" s="11" t="s">
        <v>24</v>
      </c>
      <c r="D4" s="11"/>
      <c r="E4" s="11">
        <v>77.099999999999994</v>
      </c>
      <c r="F4" s="25">
        <v>76</v>
      </c>
      <c r="G4" s="11">
        <v>560</v>
      </c>
      <c r="H4" s="13"/>
      <c r="I4" s="11">
        <v>52.5</v>
      </c>
      <c r="J4" s="25">
        <v>57.5</v>
      </c>
      <c r="K4" s="13"/>
      <c r="L4" s="25"/>
      <c r="M4" s="13"/>
      <c r="N4" s="25"/>
      <c r="O4" s="11">
        <v>0</v>
      </c>
      <c r="P4" s="11">
        <v>2.02</v>
      </c>
      <c r="Q4" s="25"/>
      <c r="R4" s="11">
        <v>3.52</v>
      </c>
      <c r="S4" s="25"/>
      <c r="T4" s="11">
        <v>4.3</v>
      </c>
      <c r="U4" s="25"/>
      <c r="V4" s="11">
        <v>8.11</v>
      </c>
      <c r="W4" s="25"/>
      <c r="X4" s="12">
        <f>10/ListDatas5[[#This Row],[10m (s) (avant)]]</f>
        <v>4.9504950495049505</v>
      </c>
      <c r="Y4" s="12">
        <f>ListDatas5[[#This Row],[m.s 10m]]*3.6</f>
        <v>17.821782178217823</v>
      </c>
      <c r="Z4" s="12">
        <f>20/ListDatas5[[#This Row],[20m (s) (avant)]]</f>
        <v>5.6818181818181817</v>
      </c>
      <c r="AA4" s="12">
        <f>ListDatas5[[#This Row],[m.s 20m]]*3.6</f>
        <v>20.454545454545453</v>
      </c>
      <c r="AB4" s="12">
        <f>25/ListDatas5[[#This Row],[25m (s) (avant)]]</f>
        <v>5.8139534883720936</v>
      </c>
      <c r="AC4" s="12">
        <f>ListDatas5[[#This Row],[m.s 25m]]*3.6</f>
        <v>20.930232558139537</v>
      </c>
      <c r="AD4" s="12">
        <f>50/ListDatas5[[#This Row],[50m (s) (avant)]]</f>
        <v>6.1652281134401976</v>
      </c>
      <c r="AE4" s="12">
        <f>ListDatas5[[#This Row],[m.s 50m]]*3.6</f>
        <v>22.194821208384713</v>
      </c>
      <c r="AF4" s="11">
        <v>193</v>
      </c>
    </row>
    <row r="5" spans="1:32" hidden="1" x14ac:dyDescent="0.25">
      <c r="A5" s="11" t="s">
        <v>59</v>
      </c>
      <c r="B5" s="11" t="s">
        <v>45</v>
      </c>
      <c r="C5" s="11" t="s">
        <v>24</v>
      </c>
      <c r="D5" s="11"/>
      <c r="E5" s="11">
        <v>89.2</v>
      </c>
      <c r="F5" s="25">
        <v>87.4</v>
      </c>
      <c r="G5" s="11">
        <v>440</v>
      </c>
      <c r="H5" s="11">
        <v>13.5</v>
      </c>
      <c r="I5" s="11">
        <v>45</v>
      </c>
      <c r="J5" s="25">
        <v>50</v>
      </c>
      <c r="K5" s="11">
        <v>60</v>
      </c>
      <c r="L5" s="25">
        <v>60</v>
      </c>
      <c r="M5" s="11">
        <v>95</v>
      </c>
      <c r="N5" s="25">
        <v>125</v>
      </c>
      <c r="O5" s="11">
        <v>0</v>
      </c>
      <c r="P5" s="11">
        <v>2.23</v>
      </c>
      <c r="Q5" s="25">
        <v>2.11</v>
      </c>
      <c r="R5" s="11">
        <v>3.9</v>
      </c>
      <c r="S5" s="25">
        <v>3.7</v>
      </c>
      <c r="T5" s="11">
        <v>4.88</v>
      </c>
      <c r="U5" s="25">
        <v>4.5999999999999996</v>
      </c>
      <c r="V5" s="11">
        <v>9.39</v>
      </c>
      <c r="W5" s="25">
        <v>8.7100000000000009</v>
      </c>
      <c r="X5" s="12">
        <f>10/ListDatas5[[#This Row],[10m (s) (avant)]]</f>
        <v>4.4843049327354256</v>
      </c>
      <c r="Y5" s="12">
        <f>ListDatas5[[#This Row],[m.s 10m]]*3.6</f>
        <v>16.143497757847534</v>
      </c>
      <c r="Z5" s="12">
        <f>20/ListDatas5[[#This Row],[20m (s) (avant)]]</f>
        <v>5.1282051282051286</v>
      </c>
      <c r="AA5" s="12">
        <f>ListDatas5[[#This Row],[m.s 20m]]*3.6</f>
        <v>18.461538461538463</v>
      </c>
      <c r="AB5" s="12">
        <f>25/ListDatas5[[#This Row],[25m (s) (avant)]]</f>
        <v>5.1229508196721314</v>
      </c>
      <c r="AC5" s="12">
        <f>ListDatas5[[#This Row],[m.s 25m]]*3.6</f>
        <v>18.442622950819672</v>
      </c>
      <c r="AD5" s="12">
        <f>50/ListDatas5[[#This Row],[50m (s) (avant)]]</f>
        <v>5.324813631522896</v>
      </c>
      <c r="AE5" s="12">
        <f>ListDatas5[[#This Row],[m.s 50m]]*3.6</f>
        <v>19.169329073482427</v>
      </c>
      <c r="AF5" s="11">
        <v>170</v>
      </c>
    </row>
    <row r="6" spans="1:32" x14ac:dyDescent="0.25">
      <c r="A6" s="11" t="s">
        <v>28</v>
      </c>
      <c r="B6" s="11" t="s">
        <v>29</v>
      </c>
      <c r="C6" s="11" t="s">
        <v>24</v>
      </c>
      <c r="D6" s="11"/>
      <c r="E6" s="11">
        <v>64</v>
      </c>
      <c r="F6" s="25">
        <v>64.099999999999994</v>
      </c>
      <c r="G6" s="11">
        <v>1400</v>
      </c>
      <c r="H6" s="11">
        <v>18.5</v>
      </c>
      <c r="I6" s="11">
        <v>50</v>
      </c>
      <c r="J6" s="25">
        <v>58</v>
      </c>
      <c r="K6" s="11">
        <v>50</v>
      </c>
      <c r="L6" s="25">
        <v>55</v>
      </c>
      <c r="M6" s="11">
        <v>105</v>
      </c>
      <c r="N6" s="25">
        <v>130</v>
      </c>
      <c r="O6" s="11">
        <v>0</v>
      </c>
      <c r="P6" s="11">
        <v>1.94</v>
      </c>
      <c r="Q6" s="25">
        <v>1.84</v>
      </c>
      <c r="R6" s="11">
        <v>3.32</v>
      </c>
      <c r="S6" s="25">
        <v>3.22</v>
      </c>
      <c r="T6" s="11">
        <v>4.07</v>
      </c>
      <c r="U6" s="25">
        <v>3.98</v>
      </c>
      <c r="V6" s="11">
        <v>7.5</v>
      </c>
      <c r="W6" s="25">
        <v>7.21</v>
      </c>
      <c r="X6" s="12">
        <f>10/ListDatas5[[#This Row],[10m (s) (avant)]]</f>
        <v>5.1546391752577323</v>
      </c>
      <c r="Y6" s="12">
        <f>ListDatas5[[#This Row],[m.s 10m]]*3.6</f>
        <v>18.556701030927837</v>
      </c>
      <c r="Z6" s="12">
        <f>20/ListDatas5[[#This Row],[20m (s) (avant)]]</f>
        <v>6.024096385542169</v>
      </c>
      <c r="AA6" s="12">
        <f>ListDatas5[[#This Row],[m.s 20m]]*3.6</f>
        <v>21.68674698795181</v>
      </c>
      <c r="AB6" s="12">
        <f>25/ListDatas5[[#This Row],[25m (s) (avant)]]</f>
        <v>6.142506142506142</v>
      </c>
      <c r="AC6" s="12">
        <f>ListDatas5[[#This Row],[m.s 25m]]*3.6</f>
        <v>22.113022113022112</v>
      </c>
      <c r="AD6" s="12">
        <f>50/ListDatas5[[#This Row],[50m (s) (avant)]]</f>
        <v>6.666666666666667</v>
      </c>
      <c r="AE6" s="12">
        <f>ListDatas5[[#This Row],[m.s 50m]]*3.6</f>
        <v>24</v>
      </c>
      <c r="AF6" s="11">
        <v>202</v>
      </c>
    </row>
    <row r="7" spans="1:32" hidden="1" x14ac:dyDescent="0.25">
      <c r="A7" s="11" t="s">
        <v>34</v>
      </c>
      <c r="B7" s="11" t="s">
        <v>29</v>
      </c>
      <c r="C7" s="11" t="s">
        <v>24</v>
      </c>
      <c r="D7" s="11"/>
      <c r="E7" s="11">
        <v>63.4</v>
      </c>
      <c r="F7" s="25">
        <v>65</v>
      </c>
      <c r="G7" s="13"/>
      <c r="H7" s="11">
        <v>17.5</v>
      </c>
      <c r="I7" s="11">
        <v>45</v>
      </c>
      <c r="J7" s="25">
        <v>50</v>
      </c>
      <c r="K7" s="11">
        <v>48</v>
      </c>
      <c r="L7" s="25">
        <v>60</v>
      </c>
      <c r="M7" s="11">
        <v>100</v>
      </c>
      <c r="N7" s="25">
        <v>110</v>
      </c>
      <c r="O7" s="11">
        <v>0</v>
      </c>
      <c r="P7" s="11">
        <v>1.95</v>
      </c>
      <c r="Q7" s="25">
        <v>1.96</v>
      </c>
      <c r="R7" s="11">
        <v>3.39</v>
      </c>
      <c r="S7" s="25">
        <v>3.46</v>
      </c>
      <c r="T7" s="11">
        <v>4.1100000000000003</v>
      </c>
      <c r="U7" s="25">
        <v>4.24</v>
      </c>
      <c r="V7" s="11">
        <v>7.71</v>
      </c>
      <c r="W7" s="25">
        <v>7.9</v>
      </c>
      <c r="X7" s="12">
        <f>10/ListDatas5[[#This Row],[10m (s) (avant)]]</f>
        <v>5.1282051282051286</v>
      </c>
      <c r="Y7" s="12">
        <f>ListDatas5[[#This Row],[m.s 10m]]*3.6</f>
        <v>18.461538461538463</v>
      </c>
      <c r="Z7" s="12">
        <f>20/ListDatas5[[#This Row],[20m (s) (avant)]]</f>
        <v>5.8997050147492622</v>
      </c>
      <c r="AA7" s="12">
        <f>ListDatas5[[#This Row],[m.s 20m]]*3.6</f>
        <v>21.238938053097346</v>
      </c>
      <c r="AB7" s="12">
        <f>25/ListDatas5[[#This Row],[25m (s) (avant)]]</f>
        <v>6.0827250608272498</v>
      </c>
      <c r="AC7" s="12">
        <f>ListDatas5[[#This Row],[m.s 25m]]*3.6</f>
        <v>21.897810218978101</v>
      </c>
      <c r="AD7" s="12">
        <f>50/ListDatas5[[#This Row],[50m (s) (avant)]]</f>
        <v>6.4850843060959793</v>
      </c>
      <c r="AE7" s="12">
        <f>ListDatas5[[#This Row],[m.s 50m]]*3.6</f>
        <v>23.346303501945528</v>
      </c>
      <c r="AF7" s="13"/>
    </row>
    <row r="8" spans="1:32" hidden="1" x14ac:dyDescent="0.25">
      <c r="A8" s="11" t="s">
        <v>61</v>
      </c>
      <c r="B8" s="11" t="s">
        <v>45</v>
      </c>
      <c r="C8" s="11" t="s">
        <v>24</v>
      </c>
      <c r="D8" s="11"/>
      <c r="E8" s="11">
        <v>72.5</v>
      </c>
      <c r="F8" s="25"/>
      <c r="G8" s="11">
        <v>400</v>
      </c>
      <c r="H8" s="11">
        <v>12.5</v>
      </c>
      <c r="I8" s="11">
        <v>35</v>
      </c>
      <c r="J8" s="25"/>
      <c r="K8" s="11">
        <v>40</v>
      </c>
      <c r="L8" s="25"/>
      <c r="M8" s="11">
        <v>80</v>
      </c>
      <c r="N8" s="25"/>
      <c r="O8" s="11">
        <v>0</v>
      </c>
      <c r="P8" s="13"/>
      <c r="Q8" s="25"/>
      <c r="R8" s="13"/>
      <c r="S8" s="25"/>
      <c r="T8" s="13"/>
      <c r="U8" s="25"/>
      <c r="V8" s="13"/>
      <c r="W8" s="25"/>
      <c r="X8" s="12" t="e">
        <f>10/ListDatas5[[#This Row],[10m (s) (avant)]]</f>
        <v>#DIV/0!</v>
      </c>
      <c r="Y8" s="12" t="e">
        <f>ListDatas5[[#This Row],[m.s 10m]]*3.6</f>
        <v>#DIV/0!</v>
      </c>
      <c r="Z8" s="12" t="e">
        <f>20/ListDatas5[[#This Row],[20m (s) (avant)]]</f>
        <v>#DIV/0!</v>
      </c>
      <c r="AA8" s="12" t="e">
        <f>ListDatas5[[#This Row],[m.s 20m]]*3.6</f>
        <v>#DIV/0!</v>
      </c>
      <c r="AB8" s="12" t="e">
        <f>25/ListDatas5[[#This Row],[25m (s) (avant)]]</f>
        <v>#DIV/0!</v>
      </c>
      <c r="AC8" s="12" t="e">
        <f>ListDatas5[[#This Row],[m.s 25m]]*3.6</f>
        <v>#DIV/0!</v>
      </c>
      <c r="AD8" s="12" t="e">
        <f>50/ListDatas5[[#This Row],[50m (s) (avant)]]</f>
        <v>#DIV/0!</v>
      </c>
      <c r="AE8" s="12" t="e">
        <f>ListDatas5[[#This Row],[m.s 50m]]*3.6</f>
        <v>#DIV/0!</v>
      </c>
      <c r="AF8" s="13"/>
    </row>
    <row r="9" spans="1:32" hidden="1" x14ac:dyDescent="0.25">
      <c r="A9" s="11" t="s">
        <v>37</v>
      </c>
      <c r="B9" s="11" t="s">
        <v>296</v>
      </c>
      <c r="C9" s="11" t="s">
        <v>24</v>
      </c>
      <c r="D9" s="11"/>
      <c r="E9" s="11">
        <v>65.5</v>
      </c>
      <c r="F9" s="25">
        <v>66.099999999999994</v>
      </c>
      <c r="G9" s="11">
        <v>560</v>
      </c>
      <c r="H9" s="13"/>
      <c r="I9" s="20"/>
      <c r="J9" s="27">
        <v>35</v>
      </c>
      <c r="K9" s="20"/>
      <c r="L9" s="27">
        <v>42.5</v>
      </c>
      <c r="M9" s="20"/>
      <c r="N9" s="27">
        <v>90</v>
      </c>
      <c r="O9" s="11">
        <v>0</v>
      </c>
      <c r="P9" s="11">
        <v>1.99</v>
      </c>
      <c r="Q9" s="25"/>
      <c r="R9" s="11">
        <v>3.53</v>
      </c>
      <c r="S9" s="25"/>
      <c r="T9" s="11">
        <v>4.1500000000000004</v>
      </c>
      <c r="U9" s="25"/>
      <c r="V9" s="11">
        <v>7.93</v>
      </c>
      <c r="W9" s="25"/>
      <c r="X9" s="12">
        <f>10/ListDatas5[[#This Row],[10m (s) (avant)]]</f>
        <v>5.025125628140704</v>
      </c>
      <c r="Y9" s="12">
        <f>ListDatas5[[#This Row],[m.s 10m]]*3.6</f>
        <v>18.090452261306535</v>
      </c>
      <c r="Z9" s="12">
        <f>20/ListDatas5[[#This Row],[20m (s) (avant)]]</f>
        <v>5.6657223796034</v>
      </c>
      <c r="AA9" s="12">
        <f>ListDatas5[[#This Row],[m.s 20m]]*3.6</f>
        <v>20.396600566572239</v>
      </c>
      <c r="AB9" s="12">
        <f>25/ListDatas5[[#This Row],[25m (s) (avant)]]</f>
        <v>6.0240963855421681</v>
      </c>
      <c r="AC9" s="12">
        <f>ListDatas5[[#This Row],[m.s 25m]]*3.6</f>
        <v>21.686746987951807</v>
      </c>
      <c r="AD9" s="12">
        <f>50/ListDatas5[[#This Row],[50m (s) (avant)]]</f>
        <v>6.3051702395964693</v>
      </c>
      <c r="AE9" s="12">
        <f>ListDatas5[[#This Row],[m.s 50m]]*3.6</f>
        <v>22.698612862547289</v>
      </c>
      <c r="AF9" s="11">
        <v>197</v>
      </c>
    </row>
    <row r="10" spans="1:32" x14ac:dyDescent="0.25">
      <c r="A10" s="11" t="s">
        <v>62</v>
      </c>
      <c r="B10" s="11" t="s">
        <v>295</v>
      </c>
      <c r="C10" s="11" t="s">
        <v>24</v>
      </c>
      <c r="D10" s="11"/>
      <c r="E10" s="11">
        <v>59.3</v>
      </c>
      <c r="F10" s="25">
        <v>59.6</v>
      </c>
      <c r="G10" s="11">
        <v>1400</v>
      </c>
      <c r="H10" s="11">
        <v>18.5</v>
      </c>
      <c r="I10" s="11">
        <v>37.5</v>
      </c>
      <c r="J10" s="25">
        <v>45</v>
      </c>
      <c r="K10" s="11">
        <v>45</v>
      </c>
      <c r="L10" s="25">
        <v>47.5</v>
      </c>
      <c r="M10" s="11">
        <v>90</v>
      </c>
      <c r="N10" s="25">
        <v>125</v>
      </c>
      <c r="O10" s="11">
        <v>0</v>
      </c>
      <c r="P10" s="11">
        <v>1.92</v>
      </c>
      <c r="Q10" s="25">
        <v>1.82</v>
      </c>
      <c r="R10" s="11">
        <v>3.32</v>
      </c>
      <c r="S10" s="25">
        <v>3.19</v>
      </c>
      <c r="T10" s="13"/>
      <c r="U10" s="25">
        <v>3.91</v>
      </c>
      <c r="V10" s="13"/>
      <c r="W10" s="25">
        <v>7.14</v>
      </c>
      <c r="X10" s="12">
        <f>10/ListDatas5[[#This Row],[10m (s) (avant)]]</f>
        <v>5.2083333333333339</v>
      </c>
      <c r="Y10" s="12">
        <f>ListDatas5[[#This Row],[m.s 10m]]*3.6</f>
        <v>18.750000000000004</v>
      </c>
      <c r="Z10" s="12">
        <f>20/ListDatas5[[#This Row],[20m (s) (avant)]]</f>
        <v>6.024096385542169</v>
      </c>
      <c r="AA10" s="12">
        <f>ListDatas5[[#This Row],[m.s 20m]]*3.6</f>
        <v>21.68674698795181</v>
      </c>
      <c r="AB10" s="12" t="e">
        <f>25/ListDatas5[[#This Row],[25m (s) (avant)]]</f>
        <v>#DIV/0!</v>
      </c>
      <c r="AC10" s="12" t="e">
        <f>ListDatas5[[#This Row],[m.s 25m]]*3.6</f>
        <v>#DIV/0!</v>
      </c>
      <c r="AD10" s="12" t="e">
        <f>50/ListDatas5[[#This Row],[50m (s) (avant)]]</f>
        <v>#DIV/0!</v>
      </c>
      <c r="AE10" s="12" t="e">
        <f>ListDatas5[[#This Row],[m.s 50m]]*3.6</f>
        <v>#DIV/0!</v>
      </c>
      <c r="AF10" s="11">
        <v>187</v>
      </c>
    </row>
    <row r="11" spans="1:32" hidden="1" x14ac:dyDescent="0.25">
      <c r="A11" s="11" t="s">
        <v>52</v>
      </c>
      <c r="B11" s="11" t="s">
        <v>29</v>
      </c>
      <c r="C11" s="11" t="s">
        <v>24</v>
      </c>
      <c r="D11" s="11"/>
      <c r="E11" s="11">
        <v>59</v>
      </c>
      <c r="F11" s="25">
        <v>61</v>
      </c>
      <c r="G11" s="11">
        <v>680</v>
      </c>
      <c r="H11" s="11">
        <v>16</v>
      </c>
      <c r="I11" s="11">
        <v>30</v>
      </c>
      <c r="J11" s="25">
        <v>35</v>
      </c>
      <c r="K11" s="11">
        <v>42.5</v>
      </c>
      <c r="L11" s="25">
        <v>45</v>
      </c>
      <c r="M11" s="11">
        <v>70</v>
      </c>
      <c r="N11" s="25">
        <v>110</v>
      </c>
      <c r="O11" s="11">
        <v>0</v>
      </c>
      <c r="P11" s="11">
        <v>2.13</v>
      </c>
      <c r="Q11" s="25">
        <v>2</v>
      </c>
      <c r="R11" s="11">
        <v>3.73</v>
      </c>
      <c r="S11" s="25">
        <v>3.53</v>
      </c>
      <c r="T11" s="11">
        <v>4.41</v>
      </c>
      <c r="U11" s="25">
        <v>4.1900000000000004</v>
      </c>
      <c r="V11" s="11">
        <v>8.49</v>
      </c>
      <c r="W11" s="25">
        <v>7.8</v>
      </c>
      <c r="X11" s="12">
        <f>10/ListDatas5[[#This Row],[10m (s) (avant)]]</f>
        <v>4.694835680751174</v>
      </c>
      <c r="Y11" s="12">
        <f>ListDatas5[[#This Row],[m.s 10m]]*3.6</f>
        <v>16.901408450704228</v>
      </c>
      <c r="Z11" s="12">
        <f>20/ListDatas5[[#This Row],[20m (s) (avant)]]</f>
        <v>5.3619302949061662</v>
      </c>
      <c r="AA11" s="12">
        <f>ListDatas5[[#This Row],[m.s 20m]]*3.6</f>
        <v>19.302949061662201</v>
      </c>
      <c r="AB11" s="12">
        <f>25/ListDatas5[[#This Row],[25m (s) (avant)]]</f>
        <v>5.6689342403628116</v>
      </c>
      <c r="AC11" s="12">
        <f>ListDatas5[[#This Row],[m.s 25m]]*3.6</f>
        <v>20.408163265306122</v>
      </c>
      <c r="AD11" s="12">
        <f>50/ListDatas5[[#This Row],[50m (s) (avant)]]</f>
        <v>5.8892815076560661</v>
      </c>
      <c r="AE11" s="12">
        <f>ListDatas5[[#This Row],[m.s 50m]]*3.6</f>
        <v>21.201413427561839</v>
      </c>
      <c r="AF11" s="11">
        <v>180</v>
      </c>
    </row>
    <row r="12" spans="1:32" hidden="1" x14ac:dyDescent="0.25">
      <c r="A12" s="11" t="s">
        <v>23</v>
      </c>
      <c r="B12" s="11" t="s">
        <v>295</v>
      </c>
      <c r="C12" s="11" t="s">
        <v>24</v>
      </c>
      <c r="D12" s="11"/>
      <c r="E12" s="11">
        <v>65.900000000000006</v>
      </c>
      <c r="F12" s="25">
        <v>68</v>
      </c>
      <c r="G12" s="11">
        <v>960</v>
      </c>
      <c r="H12" s="13"/>
      <c r="I12" s="11">
        <v>37.5</v>
      </c>
      <c r="J12" s="25">
        <v>42.5</v>
      </c>
      <c r="K12" s="11">
        <v>37.5</v>
      </c>
      <c r="L12" s="25">
        <v>50</v>
      </c>
      <c r="M12" s="11">
        <v>70</v>
      </c>
      <c r="N12" s="25">
        <v>90</v>
      </c>
      <c r="O12" s="11">
        <v>0</v>
      </c>
      <c r="P12" s="11">
        <v>1.71</v>
      </c>
      <c r="Q12" s="25"/>
      <c r="R12" s="11">
        <v>3.1</v>
      </c>
      <c r="S12" s="25"/>
      <c r="T12" s="11">
        <v>3.73</v>
      </c>
      <c r="U12" s="25"/>
      <c r="V12" s="11">
        <v>6.94</v>
      </c>
      <c r="W12" s="25"/>
      <c r="X12" s="12">
        <f>10/ListDatas5[[#This Row],[10m (s) (avant)]]</f>
        <v>5.8479532163742691</v>
      </c>
      <c r="Y12" s="12">
        <f>ListDatas5[[#This Row],[m.s 10m]]*3.6</f>
        <v>21.05263157894737</v>
      </c>
      <c r="Z12" s="12">
        <f>20/ListDatas5[[#This Row],[20m (s) (avant)]]</f>
        <v>6.4516129032258061</v>
      </c>
      <c r="AA12" s="12">
        <f>ListDatas5[[#This Row],[m.s 20m]]*3.6</f>
        <v>23.225806451612904</v>
      </c>
      <c r="AB12" s="12">
        <f>25/ListDatas5[[#This Row],[25m (s) (avant)]]</f>
        <v>6.7024128686327078</v>
      </c>
      <c r="AC12" s="12">
        <f>ListDatas5[[#This Row],[m.s 25m]]*3.6</f>
        <v>24.128686327077748</v>
      </c>
      <c r="AD12" s="12">
        <f>50/ListDatas5[[#This Row],[50m (s) (avant)]]</f>
        <v>7.2046109510086449</v>
      </c>
      <c r="AE12" s="12">
        <f>ListDatas5[[#This Row],[m.s 50m]]*3.6</f>
        <v>25.936599423631122</v>
      </c>
      <c r="AF12" s="13"/>
    </row>
    <row r="13" spans="1:32" hidden="1" x14ac:dyDescent="0.25">
      <c r="A13" s="11" t="s">
        <v>48</v>
      </c>
      <c r="B13" s="11" t="s">
        <v>49</v>
      </c>
      <c r="C13" s="11" t="s">
        <v>24</v>
      </c>
      <c r="D13" s="11"/>
      <c r="E13" s="11"/>
      <c r="F13" s="25">
        <v>65</v>
      </c>
      <c r="G13" s="13"/>
      <c r="H13" s="11">
        <v>17</v>
      </c>
      <c r="I13" s="11">
        <v>42.5</v>
      </c>
      <c r="J13" s="25">
        <v>45</v>
      </c>
      <c r="K13" s="11">
        <v>40</v>
      </c>
      <c r="L13" s="25">
        <v>45</v>
      </c>
      <c r="M13" s="11">
        <v>80</v>
      </c>
      <c r="N13" s="25"/>
      <c r="O13" s="11">
        <v>0</v>
      </c>
      <c r="P13" s="11">
        <v>2.13</v>
      </c>
      <c r="Q13" s="25"/>
      <c r="R13" s="11">
        <v>3.72</v>
      </c>
      <c r="S13" s="25"/>
      <c r="T13" s="11">
        <v>4.43</v>
      </c>
      <c r="U13" s="25"/>
      <c r="V13" s="11">
        <v>8.36</v>
      </c>
      <c r="W13" s="25"/>
      <c r="X13" s="12">
        <f>10/ListDatas5[[#This Row],[10m (s) (avant)]]</f>
        <v>4.694835680751174</v>
      </c>
      <c r="Y13" s="12">
        <f>ListDatas5[[#This Row],[m.s 10m]]*3.6</f>
        <v>16.901408450704228</v>
      </c>
      <c r="Z13" s="12">
        <f>20/ListDatas5[[#This Row],[20m (s) (avant)]]</f>
        <v>5.376344086021505</v>
      </c>
      <c r="AA13" s="12">
        <f>ListDatas5[[#This Row],[m.s 20m]]*3.6</f>
        <v>19.35483870967742</v>
      </c>
      <c r="AB13" s="12">
        <f>25/ListDatas5[[#This Row],[25m (s) (avant)]]</f>
        <v>5.6433408577878108</v>
      </c>
      <c r="AC13" s="12">
        <f>ListDatas5[[#This Row],[m.s 25m]]*3.6</f>
        <v>20.316027088036119</v>
      </c>
      <c r="AD13" s="12">
        <f>50/ListDatas5[[#This Row],[50m (s) (avant)]]</f>
        <v>5.9808612440191391</v>
      </c>
      <c r="AE13" s="12">
        <f>ListDatas5[[#This Row],[m.s 50m]]*3.6</f>
        <v>21.5311004784689</v>
      </c>
      <c r="AF13" s="11">
        <v>178</v>
      </c>
    </row>
    <row r="14" spans="1:32" hidden="1" x14ac:dyDescent="0.25">
      <c r="A14" s="11" t="s">
        <v>63</v>
      </c>
      <c r="B14" s="11" t="s">
        <v>45</v>
      </c>
      <c r="C14" s="11" t="s">
        <v>42</v>
      </c>
      <c r="D14" s="11"/>
      <c r="E14" s="11">
        <v>80.099999999999994</v>
      </c>
      <c r="F14" s="25">
        <v>79.5</v>
      </c>
      <c r="G14" s="11">
        <v>560</v>
      </c>
      <c r="H14" s="13"/>
      <c r="I14" s="13"/>
      <c r="J14" s="25"/>
      <c r="K14" s="13"/>
      <c r="L14" s="25"/>
      <c r="M14" s="13"/>
      <c r="N14" s="25"/>
      <c r="O14" s="11">
        <v>0</v>
      </c>
      <c r="P14" s="13"/>
      <c r="Q14" s="25">
        <v>1.98</v>
      </c>
      <c r="R14" s="13"/>
      <c r="S14" s="25">
        <v>3.54</v>
      </c>
      <c r="T14" s="13"/>
      <c r="U14" s="25">
        <v>4.2</v>
      </c>
      <c r="V14" s="13"/>
      <c r="W14" s="25">
        <v>8</v>
      </c>
      <c r="X14" s="12" t="e">
        <f>10/ListDatas5[[#This Row],[10m (s) (avant)]]</f>
        <v>#DIV/0!</v>
      </c>
      <c r="Y14" s="12" t="e">
        <f>ListDatas5[[#This Row],[m.s 10m]]*3.6</f>
        <v>#DIV/0!</v>
      </c>
      <c r="Z14" s="12" t="e">
        <f>20/ListDatas5[[#This Row],[20m (s) (avant)]]</f>
        <v>#DIV/0!</v>
      </c>
      <c r="AA14" s="12" t="e">
        <f>ListDatas5[[#This Row],[m.s 20m]]*3.6</f>
        <v>#DIV/0!</v>
      </c>
      <c r="AB14" s="12" t="e">
        <f>25/ListDatas5[[#This Row],[25m (s) (avant)]]</f>
        <v>#DIV/0!</v>
      </c>
      <c r="AC14" s="12" t="e">
        <f>ListDatas5[[#This Row],[m.s 25m]]*3.6</f>
        <v>#DIV/0!</v>
      </c>
      <c r="AD14" s="11" t="e">
        <f>50/ListDatas5[[#This Row],[50m (s) (avant)]]</f>
        <v>#DIV/0!</v>
      </c>
      <c r="AE14" s="12" t="e">
        <f>ListDatas5[[#This Row],[m.s 50m]]*3.6</f>
        <v>#DIV/0!</v>
      </c>
      <c r="AF14" s="13"/>
    </row>
    <row r="15" spans="1:32" hidden="1" x14ac:dyDescent="0.25">
      <c r="A15" s="11" t="s">
        <v>43</v>
      </c>
      <c r="B15" s="11" t="s">
        <v>29</v>
      </c>
      <c r="C15" s="11" t="s">
        <v>24</v>
      </c>
      <c r="D15" s="11"/>
      <c r="E15" s="11">
        <v>71.400000000000006</v>
      </c>
      <c r="F15" s="25">
        <v>72.599999999999994</v>
      </c>
      <c r="G15" s="11">
        <v>640</v>
      </c>
      <c r="H15" s="11">
        <v>16.5</v>
      </c>
      <c r="I15" s="11">
        <v>45</v>
      </c>
      <c r="J15" s="25">
        <v>50</v>
      </c>
      <c r="K15" s="11">
        <v>45</v>
      </c>
      <c r="L15" s="25">
        <v>55</v>
      </c>
      <c r="M15" s="11">
        <v>95</v>
      </c>
      <c r="N15" s="25">
        <v>130</v>
      </c>
      <c r="O15" s="11">
        <v>0</v>
      </c>
      <c r="P15" s="11">
        <v>2.04</v>
      </c>
      <c r="Q15" s="25">
        <v>1.9</v>
      </c>
      <c r="R15" s="11">
        <v>3.59</v>
      </c>
      <c r="S15" s="25">
        <v>3.36</v>
      </c>
      <c r="T15" s="11">
        <v>4.33</v>
      </c>
      <c r="U15" s="25">
        <v>4.1500000000000004</v>
      </c>
      <c r="V15" s="11">
        <v>8.09</v>
      </c>
      <c r="W15" s="25">
        <v>7.71</v>
      </c>
      <c r="X15" s="12">
        <f>10/ListDatas5[[#This Row],[10m (s) (avant)]]</f>
        <v>4.9019607843137258</v>
      </c>
      <c r="Y15" s="12">
        <f>ListDatas5[[#This Row],[m.s 10m]]*3.6</f>
        <v>17.647058823529413</v>
      </c>
      <c r="Z15" s="12">
        <f>20/ListDatas5[[#This Row],[20m (s) (avant)]]</f>
        <v>5.5710306406685239</v>
      </c>
      <c r="AA15" s="12">
        <f>ListDatas5[[#This Row],[m.s 20m]]*3.6</f>
        <v>20.055710306406688</v>
      </c>
      <c r="AB15" s="12">
        <f>25/ListDatas5[[#This Row],[25m (s) (avant)]]</f>
        <v>5.7736720554272516</v>
      </c>
      <c r="AC15" s="12">
        <f>ListDatas5[[#This Row],[m.s 25m]]*3.6</f>
        <v>20.785219399538107</v>
      </c>
      <c r="AD15" s="12">
        <f>50/ListDatas5[[#This Row],[50m (s) (avant)]]</f>
        <v>6.1804697156983934</v>
      </c>
      <c r="AE15" s="12">
        <f>ListDatas5[[#This Row],[m.s 50m]]*3.6</f>
        <v>22.249690976514216</v>
      </c>
      <c r="AF15" s="11">
        <v>187</v>
      </c>
    </row>
    <row r="16" spans="1:32" hidden="1" x14ac:dyDescent="0.25">
      <c r="A16" s="11" t="s">
        <v>58</v>
      </c>
      <c r="B16" s="11" t="s">
        <v>29</v>
      </c>
      <c r="C16" s="11" t="s">
        <v>24</v>
      </c>
      <c r="D16" s="11"/>
      <c r="E16" s="11">
        <v>72.3</v>
      </c>
      <c r="F16" s="25">
        <v>70</v>
      </c>
      <c r="G16" s="11">
        <v>440</v>
      </c>
      <c r="H16" s="11">
        <v>14</v>
      </c>
      <c r="I16" s="11">
        <v>40</v>
      </c>
      <c r="J16" s="25">
        <v>45</v>
      </c>
      <c r="K16" s="11">
        <v>50</v>
      </c>
      <c r="L16" s="25">
        <v>42.5</v>
      </c>
      <c r="M16" s="11">
        <v>90</v>
      </c>
      <c r="N16" s="25">
        <v>112.5</v>
      </c>
      <c r="O16" s="11">
        <v>0</v>
      </c>
      <c r="P16" s="11">
        <v>2.15</v>
      </c>
      <c r="Q16" s="25">
        <v>2.08</v>
      </c>
      <c r="R16" s="11">
        <v>3.84</v>
      </c>
      <c r="S16" s="25">
        <v>3.73</v>
      </c>
      <c r="T16" s="11">
        <v>4.7300000000000004</v>
      </c>
      <c r="U16" s="25">
        <v>4.5</v>
      </c>
      <c r="V16" s="11">
        <v>9.18</v>
      </c>
      <c r="W16" s="25">
        <v>8.49</v>
      </c>
      <c r="X16" s="12">
        <f>10/ListDatas5[[#This Row],[10m (s) (avant)]]</f>
        <v>4.6511627906976747</v>
      </c>
      <c r="Y16" s="12">
        <f>ListDatas5[[#This Row],[m.s 10m]]*3.6</f>
        <v>16.744186046511629</v>
      </c>
      <c r="Z16" s="12">
        <f>20/ListDatas5[[#This Row],[20m (s) (avant)]]</f>
        <v>5.2083333333333339</v>
      </c>
      <c r="AA16" s="12">
        <f>ListDatas5[[#This Row],[m.s 20m]]*3.6</f>
        <v>18.750000000000004</v>
      </c>
      <c r="AB16" s="12">
        <f>25/ListDatas5[[#This Row],[25m (s) (avant)]]</f>
        <v>5.2854122621564477</v>
      </c>
      <c r="AC16" s="12">
        <f>ListDatas5[[#This Row],[m.s 25m]]*3.6</f>
        <v>19.027484143763211</v>
      </c>
      <c r="AD16" s="12">
        <f>50/ListDatas5[[#This Row],[50m (s) (avant)]]</f>
        <v>5.4466230936819171</v>
      </c>
      <c r="AE16" s="12">
        <f>ListDatas5[[#This Row],[m.s 50m]]*3.6</f>
        <v>19.607843137254903</v>
      </c>
      <c r="AF16" s="11">
        <v>180</v>
      </c>
    </row>
    <row r="17" spans="1:32" hidden="1" x14ac:dyDescent="0.25">
      <c r="A17" s="11" t="s">
        <v>60</v>
      </c>
      <c r="B17" s="11" t="s">
        <v>49</v>
      </c>
      <c r="C17" s="11" t="s">
        <v>24</v>
      </c>
      <c r="D17" s="11"/>
      <c r="E17" s="11">
        <v>61.1</v>
      </c>
      <c r="F17" s="25">
        <v>64</v>
      </c>
      <c r="G17" s="13"/>
      <c r="H17" s="11">
        <v>13</v>
      </c>
      <c r="I17" s="11">
        <v>30</v>
      </c>
      <c r="J17" s="25"/>
      <c r="K17" s="11">
        <v>40</v>
      </c>
      <c r="L17" s="25"/>
      <c r="M17" s="11">
        <v>75</v>
      </c>
      <c r="N17" s="25"/>
      <c r="O17" s="11">
        <v>0</v>
      </c>
      <c r="P17" s="11">
        <v>2.19</v>
      </c>
      <c r="Q17" s="25"/>
      <c r="R17" s="11">
        <v>3.88</v>
      </c>
      <c r="S17" s="25"/>
      <c r="T17" s="11">
        <v>4.67</v>
      </c>
      <c r="U17" s="25"/>
      <c r="V17" s="11">
        <v>9.66</v>
      </c>
      <c r="W17" s="25"/>
      <c r="X17" s="12">
        <f>10/ListDatas5[[#This Row],[10m (s) (avant)]]</f>
        <v>4.5662100456621006</v>
      </c>
      <c r="Y17" s="12">
        <f>ListDatas5[[#This Row],[m.s 10m]]*3.6</f>
        <v>16.438356164383563</v>
      </c>
      <c r="Z17" s="12">
        <f>20/ListDatas5[[#This Row],[20m (s) (avant)]]</f>
        <v>5.1546391752577323</v>
      </c>
      <c r="AA17" s="12">
        <f>ListDatas5[[#This Row],[m.s 20m]]*3.6</f>
        <v>18.556701030927837</v>
      </c>
      <c r="AB17" s="12">
        <f>25/ListDatas5[[#This Row],[25m (s) (avant)]]</f>
        <v>5.3533190578158463</v>
      </c>
      <c r="AC17" s="12">
        <f>ListDatas5[[#This Row],[m.s 25m]]*3.6</f>
        <v>19.271948608137048</v>
      </c>
      <c r="AD17" s="12">
        <f>50/ListDatas5[[#This Row],[50m (s) (avant)]]</f>
        <v>5.1759834368530022</v>
      </c>
      <c r="AE17" s="12">
        <f>ListDatas5[[#This Row],[m.s 50m]]*3.6</f>
        <v>18.633540372670808</v>
      </c>
      <c r="AF17" s="11">
        <v>153</v>
      </c>
    </row>
    <row r="18" spans="1:32" hidden="1" x14ac:dyDescent="0.25">
      <c r="A18" s="11" t="s">
        <v>50</v>
      </c>
      <c r="B18" s="11" t="s">
        <v>36</v>
      </c>
      <c r="C18" s="11" t="s">
        <v>24</v>
      </c>
      <c r="D18" s="11"/>
      <c r="E18" s="11">
        <v>54.55</v>
      </c>
      <c r="F18" s="25">
        <v>54.1</v>
      </c>
      <c r="G18" s="11">
        <v>1040</v>
      </c>
      <c r="H18" s="11">
        <v>17</v>
      </c>
      <c r="I18" s="11">
        <v>40</v>
      </c>
      <c r="J18" s="25">
        <v>40</v>
      </c>
      <c r="K18" s="11">
        <v>35</v>
      </c>
      <c r="L18" s="25">
        <v>45</v>
      </c>
      <c r="M18" s="11">
        <v>75</v>
      </c>
      <c r="N18" s="25">
        <v>90</v>
      </c>
      <c r="O18" s="11">
        <v>0</v>
      </c>
      <c r="P18" s="11">
        <v>2.08</v>
      </c>
      <c r="Q18" s="25">
        <v>1.9</v>
      </c>
      <c r="R18" s="11">
        <v>3.66</v>
      </c>
      <c r="S18" s="25">
        <v>3.38</v>
      </c>
      <c r="T18" s="11">
        <v>4.4400000000000004</v>
      </c>
      <c r="U18" s="25">
        <v>4.1900000000000004</v>
      </c>
      <c r="V18" s="11">
        <v>8.3800000000000008</v>
      </c>
      <c r="W18" s="25">
        <v>7.86</v>
      </c>
      <c r="X18" s="12">
        <f>10/ListDatas5[[#This Row],[10m (s) (avant)]]</f>
        <v>4.8076923076923075</v>
      </c>
      <c r="Y18" s="12">
        <f>ListDatas5[[#This Row],[m.s 10m]]*3.6</f>
        <v>17.307692307692307</v>
      </c>
      <c r="Z18" s="12">
        <f>20/ListDatas5[[#This Row],[20m (s) (avant)]]</f>
        <v>5.4644808743169397</v>
      </c>
      <c r="AA18" s="12">
        <f>ListDatas5[[#This Row],[m.s 20m]]*3.6</f>
        <v>19.672131147540984</v>
      </c>
      <c r="AB18" s="12">
        <f>25/ListDatas5[[#This Row],[25m (s) (avant)]]</f>
        <v>5.6306306306306304</v>
      </c>
      <c r="AC18" s="12">
        <f>ListDatas5[[#This Row],[m.s 25m]]*3.6</f>
        <v>20.27027027027027</v>
      </c>
      <c r="AD18" s="12">
        <f>50/ListDatas5[[#This Row],[50m (s) (avant)]]</f>
        <v>5.9665871121718368</v>
      </c>
      <c r="AE18" s="12">
        <f>ListDatas5[[#This Row],[m.s 50m]]*3.6</f>
        <v>21.479713603818613</v>
      </c>
      <c r="AF18" s="11">
        <v>196</v>
      </c>
    </row>
    <row r="19" spans="1:32" hidden="1" x14ac:dyDescent="0.25">
      <c r="A19" s="11" t="s">
        <v>57</v>
      </c>
      <c r="B19" s="11" t="s">
        <v>29</v>
      </c>
      <c r="C19" s="11" t="s">
        <v>24</v>
      </c>
      <c r="D19" s="11"/>
      <c r="E19" s="11">
        <v>54.5</v>
      </c>
      <c r="F19" s="25">
        <v>55</v>
      </c>
      <c r="G19" s="11">
        <v>1000</v>
      </c>
      <c r="H19" s="11">
        <v>15.5</v>
      </c>
      <c r="I19" s="11">
        <v>32.5</v>
      </c>
      <c r="J19" s="25">
        <v>35</v>
      </c>
      <c r="K19" s="11">
        <v>40</v>
      </c>
      <c r="L19" s="25">
        <v>55</v>
      </c>
      <c r="M19" s="11">
        <v>75</v>
      </c>
      <c r="N19" s="25">
        <v>100</v>
      </c>
      <c r="O19" s="11">
        <v>0</v>
      </c>
      <c r="P19" s="11">
        <v>2.19</v>
      </c>
      <c r="Q19" s="25">
        <v>2.0099999999999998</v>
      </c>
      <c r="R19" s="11">
        <v>3.92</v>
      </c>
      <c r="S19" s="25">
        <v>3.58</v>
      </c>
      <c r="T19" s="11">
        <v>4.68</v>
      </c>
      <c r="U19" s="25">
        <v>4.3</v>
      </c>
      <c r="V19" s="11">
        <v>8.92</v>
      </c>
      <c r="W19" s="25">
        <v>8.17</v>
      </c>
      <c r="X19" s="12">
        <f>10/ListDatas5[[#This Row],[10m (s) (avant)]]</f>
        <v>4.5662100456621006</v>
      </c>
      <c r="Y19" s="12">
        <f>ListDatas5[[#This Row],[m.s 10m]]*3.6</f>
        <v>16.438356164383563</v>
      </c>
      <c r="Z19" s="12">
        <f>20/ListDatas5[[#This Row],[20m (s) (avant)]]</f>
        <v>5.1020408163265305</v>
      </c>
      <c r="AA19" s="12">
        <f>ListDatas5[[#This Row],[m.s 20m]]*3.6</f>
        <v>18.367346938775512</v>
      </c>
      <c r="AB19" s="12">
        <f>25/ListDatas5[[#This Row],[25m (s) (avant)]]</f>
        <v>5.3418803418803424</v>
      </c>
      <c r="AC19" s="12">
        <f>ListDatas5[[#This Row],[m.s 25m]]*3.6</f>
        <v>19.230769230769234</v>
      </c>
      <c r="AD19" s="12">
        <f>50/ListDatas5[[#This Row],[50m (s) (avant)]]</f>
        <v>5.6053811659192823</v>
      </c>
      <c r="AE19" s="12">
        <f>ListDatas5[[#This Row],[m.s 50m]]*3.6</f>
        <v>20.179372197309416</v>
      </c>
      <c r="AF19" s="11">
        <v>160</v>
      </c>
    </row>
    <row r="20" spans="1:32" hidden="1" x14ac:dyDescent="0.25">
      <c r="A20" s="11" t="s">
        <v>26</v>
      </c>
      <c r="B20" s="11" t="s">
        <v>296</v>
      </c>
      <c r="C20" s="11" t="s">
        <v>24</v>
      </c>
      <c r="D20" s="11"/>
      <c r="E20" s="11">
        <v>60.2</v>
      </c>
      <c r="F20" s="25">
        <v>59.6</v>
      </c>
      <c r="G20" s="11">
        <v>960</v>
      </c>
      <c r="H20" s="11">
        <v>16.5</v>
      </c>
      <c r="I20" s="11">
        <v>32.5</v>
      </c>
      <c r="J20" s="25">
        <v>35</v>
      </c>
      <c r="K20" s="11">
        <v>35</v>
      </c>
      <c r="L20" s="25">
        <v>42.5</v>
      </c>
      <c r="M20" s="11">
        <v>70</v>
      </c>
      <c r="N20" s="25">
        <v>100</v>
      </c>
      <c r="O20" s="11">
        <v>0</v>
      </c>
      <c r="P20" s="11">
        <v>1.91</v>
      </c>
      <c r="Q20" s="25">
        <v>1.77</v>
      </c>
      <c r="R20" s="11">
        <v>3.32</v>
      </c>
      <c r="S20" s="25">
        <v>3.14</v>
      </c>
      <c r="T20" s="11">
        <v>3.97</v>
      </c>
      <c r="U20" s="25">
        <v>3.82</v>
      </c>
      <c r="V20" s="11">
        <v>7.38</v>
      </c>
      <c r="W20" s="25">
        <v>7.08</v>
      </c>
      <c r="X20" s="12">
        <f>10/ListDatas5[[#This Row],[10m (s) (avant)]]</f>
        <v>5.2356020942408383</v>
      </c>
      <c r="Y20" s="12">
        <f>ListDatas5[[#This Row],[m.s 10m]]*3.6</f>
        <v>18.848167539267017</v>
      </c>
      <c r="Z20" s="12">
        <f>20/ListDatas5[[#This Row],[20m (s) (avant)]]</f>
        <v>6.024096385542169</v>
      </c>
      <c r="AA20" s="12">
        <f>ListDatas5[[#This Row],[m.s 20m]]*3.6</f>
        <v>21.68674698795181</v>
      </c>
      <c r="AB20" s="12">
        <f>25/ListDatas5[[#This Row],[25m (s) (avant)]]</f>
        <v>6.2972292191435768</v>
      </c>
      <c r="AC20" s="12">
        <f>ListDatas5[[#This Row],[m.s 25m]]*3.6</f>
        <v>22.670025188916878</v>
      </c>
      <c r="AD20" s="12">
        <f>50/ListDatas5[[#This Row],[50m (s) (avant)]]</f>
        <v>6.7750677506775068</v>
      </c>
      <c r="AE20" s="12">
        <f>ListDatas5[[#This Row],[m.s 50m]]*3.6</f>
        <v>24.390243902439025</v>
      </c>
      <c r="AF20" s="11">
        <v>207</v>
      </c>
    </row>
    <row r="21" spans="1:32" x14ac:dyDescent="0.25">
      <c r="A21" s="11" t="s">
        <v>55</v>
      </c>
      <c r="B21" s="11" t="s">
        <v>45</v>
      </c>
      <c r="C21" s="11" t="s">
        <v>24</v>
      </c>
      <c r="D21" s="11"/>
      <c r="E21" s="11">
        <v>83.7</v>
      </c>
      <c r="F21" s="25">
        <v>83.9</v>
      </c>
      <c r="G21" s="11">
        <v>560</v>
      </c>
      <c r="H21" s="11">
        <v>15.5</v>
      </c>
      <c r="I21" s="11">
        <v>50</v>
      </c>
      <c r="J21" s="25">
        <v>60</v>
      </c>
      <c r="K21" s="11">
        <v>55</v>
      </c>
      <c r="L21" s="25">
        <v>55</v>
      </c>
      <c r="M21" s="11">
        <v>70</v>
      </c>
      <c r="N21" s="25"/>
      <c r="O21" s="11">
        <v>0</v>
      </c>
      <c r="P21" s="11">
        <v>2.2999999999999998</v>
      </c>
      <c r="Q21" s="25"/>
      <c r="R21" s="11">
        <v>3.95</v>
      </c>
      <c r="S21" s="25"/>
      <c r="T21" s="11">
        <v>4.67</v>
      </c>
      <c r="U21" s="25"/>
      <c r="V21" s="11">
        <v>8.65</v>
      </c>
      <c r="W21" s="25"/>
      <c r="X21" s="12">
        <f>10/ListDatas5[[#This Row],[10m (s) (avant)]]</f>
        <v>4.3478260869565224</v>
      </c>
      <c r="Y21" s="12">
        <f>ListDatas5[[#This Row],[m.s 10m]]*3.6</f>
        <v>15.65217391304348</v>
      </c>
      <c r="Z21" s="12">
        <f>20/ListDatas5[[#This Row],[20m (s) (avant)]]</f>
        <v>5.0632911392405058</v>
      </c>
      <c r="AA21" s="12">
        <f>ListDatas5[[#This Row],[m.s 20m]]*3.6</f>
        <v>18.22784810126582</v>
      </c>
      <c r="AB21" s="12">
        <f>25/ListDatas5[[#This Row],[25m (s) (avant)]]</f>
        <v>5.3533190578158463</v>
      </c>
      <c r="AC21" s="12">
        <f>ListDatas5[[#This Row],[m.s 25m]]*3.6</f>
        <v>19.271948608137048</v>
      </c>
      <c r="AD21" s="12">
        <f>50/ListDatas5[[#This Row],[50m (s) (avant)]]</f>
        <v>5.7803468208092479</v>
      </c>
      <c r="AE21" s="12">
        <f>ListDatas5[[#This Row],[m.s 50m]]*3.6</f>
        <v>20.809248554913292</v>
      </c>
      <c r="AF21" s="11">
        <v>166</v>
      </c>
    </row>
    <row r="22" spans="1:32" hidden="1" x14ac:dyDescent="0.25">
      <c r="A22" s="11" t="s">
        <v>41</v>
      </c>
      <c r="B22" s="11" t="s">
        <v>29</v>
      </c>
      <c r="C22" s="11" t="s">
        <v>42</v>
      </c>
      <c r="D22" s="11"/>
      <c r="E22" s="11">
        <v>59.4</v>
      </c>
      <c r="F22" s="25">
        <v>62.6</v>
      </c>
      <c r="G22" s="11">
        <v>1200</v>
      </c>
      <c r="H22" s="11">
        <v>17.5</v>
      </c>
      <c r="I22" s="11">
        <v>40</v>
      </c>
      <c r="J22" s="25">
        <v>50</v>
      </c>
      <c r="K22" s="11">
        <v>50</v>
      </c>
      <c r="L22" s="25">
        <v>60</v>
      </c>
      <c r="M22" s="11">
        <v>100</v>
      </c>
      <c r="N22" s="25">
        <v>110</v>
      </c>
      <c r="O22" s="11">
        <v>0</v>
      </c>
      <c r="P22" s="11">
        <v>2</v>
      </c>
      <c r="Q22" s="25">
        <v>1.89</v>
      </c>
      <c r="R22" s="11">
        <v>3.53</v>
      </c>
      <c r="S22" s="25">
        <v>3.31</v>
      </c>
      <c r="T22" s="11">
        <v>4.26</v>
      </c>
      <c r="U22" s="25">
        <v>3.96</v>
      </c>
      <c r="V22" s="11">
        <v>8.0399999999999991</v>
      </c>
      <c r="W22" s="25">
        <v>7.28</v>
      </c>
      <c r="X22" s="12">
        <f>10/ListDatas5[[#This Row],[10m (s) (avant)]]</f>
        <v>5</v>
      </c>
      <c r="Y22" s="12">
        <f>ListDatas5[[#This Row],[m.s 10m]]*3.6</f>
        <v>18</v>
      </c>
      <c r="Z22" s="12">
        <f>20/ListDatas5[[#This Row],[20m (s) (avant)]]</f>
        <v>5.6657223796034</v>
      </c>
      <c r="AA22" s="12">
        <f>ListDatas5[[#This Row],[m.s 20m]]*3.6</f>
        <v>20.396600566572239</v>
      </c>
      <c r="AB22" s="12">
        <f>25/ListDatas5[[#This Row],[25m (s) (avant)]]</f>
        <v>5.868544600938967</v>
      </c>
      <c r="AC22" s="12">
        <f>ListDatas5[[#This Row],[m.s 25m]]*3.6</f>
        <v>21.12676056338028</v>
      </c>
      <c r="AD22" s="12">
        <f>50/ListDatas5[[#This Row],[50m (s) (avant)]]</f>
        <v>6.2189054726368163</v>
      </c>
      <c r="AE22" s="12">
        <f>ListDatas5[[#This Row],[m.s 50m]]*3.6</f>
        <v>22.388059701492541</v>
      </c>
      <c r="AF22" s="11">
        <v>190</v>
      </c>
    </row>
    <row r="23" spans="1:32" hidden="1" x14ac:dyDescent="0.25">
      <c r="A23" s="11" t="s">
        <v>47</v>
      </c>
      <c r="B23" s="11" t="s">
        <v>45</v>
      </c>
      <c r="C23" s="11" t="s">
        <v>24</v>
      </c>
      <c r="D23" s="11"/>
      <c r="E23" s="11">
        <v>68.3</v>
      </c>
      <c r="F23" s="25">
        <v>67</v>
      </c>
      <c r="G23" s="11">
        <v>760</v>
      </c>
      <c r="H23" s="11">
        <v>16.5</v>
      </c>
      <c r="I23" s="11">
        <v>45</v>
      </c>
      <c r="J23" s="25">
        <v>50</v>
      </c>
      <c r="K23" s="11">
        <v>50</v>
      </c>
      <c r="L23" s="25">
        <v>42.5</v>
      </c>
      <c r="M23" s="11">
        <v>92.5</v>
      </c>
      <c r="N23" s="25">
        <v>100</v>
      </c>
      <c r="O23" s="11">
        <v>0</v>
      </c>
      <c r="P23" s="11">
        <v>2.0299999999999998</v>
      </c>
      <c r="Q23" s="25">
        <v>1.94</v>
      </c>
      <c r="R23" s="11">
        <v>3.55</v>
      </c>
      <c r="S23" s="25">
        <v>3.42</v>
      </c>
      <c r="T23" s="11">
        <v>4.3499999999999996</v>
      </c>
      <c r="U23" s="25">
        <v>4.2699999999999996</v>
      </c>
      <c r="V23" s="11">
        <v>8.24</v>
      </c>
      <c r="W23" s="25">
        <v>8.01</v>
      </c>
      <c r="X23" s="12">
        <f>10/ListDatas5[[#This Row],[10m (s) (avant)]]</f>
        <v>4.9261083743842367</v>
      </c>
      <c r="Y23" s="12">
        <f>ListDatas5[[#This Row],[m.s 10m]]*3.6</f>
        <v>17.733990147783253</v>
      </c>
      <c r="Z23" s="12">
        <f>20/ListDatas5[[#This Row],[20m (s) (avant)]]</f>
        <v>5.6338028169014089</v>
      </c>
      <c r="AA23" s="12">
        <f>ListDatas5[[#This Row],[m.s 20m]]*3.6</f>
        <v>20.281690140845072</v>
      </c>
      <c r="AB23" s="12">
        <f>25/ListDatas5[[#This Row],[25m (s) (avant)]]</f>
        <v>5.7471264367816097</v>
      </c>
      <c r="AC23" s="12">
        <f>ListDatas5[[#This Row],[m.s 25m]]*3.6</f>
        <v>20.689655172413797</v>
      </c>
      <c r="AD23" s="12">
        <f>50/ListDatas5[[#This Row],[50m (s) (avant)]]</f>
        <v>6.0679611650485432</v>
      </c>
      <c r="AE23" s="12">
        <f>ListDatas5[[#This Row],[m.s 50m]]*3.6</f>
        <v>21.844660194174757</v>
      </c>
      <c r="AF23" s="11">
        <v>193</v>
      </c>
    </row>
    <row r="24" spans="1:32" x14ac:dyDescent="0.25">
      <c r="A24" s="11" t="s">
        <v>46</v>
      </c>
      <c r="B24" s="11" t="s">
        <v>45</v>
      </c>
      <c r="C24" s="11" t="s">
        <v>24</v>
      </c>
      <c r="D24" s="11"/>
      <c r="E24" s="11">
        <v>81.3</v>
      </c>
      <c r="F24" s="25">
        <v>84</v>
      </c>
      <c r="G24" s="11">
        <v>440</v>
      </c>
      <c r="H24" s="11">
        <v>13.5</v>
      </c>
      <c r="I24" s="11">
        <v>45</v>
      </c>
      <c r="J24" s="25"/>
      <c r="K24" s="11">
        <v>55</v>
      </c>
      <c r="L24" s="25"/>
      <c r="M24" s="11">
        <v>95</v>
      </c>
      <c r="N24" s="25">
        <v>125</v>
      </c>
      <c r="O24" s="11">
        <v>0</v>
      </c>
      <c r="P24" s="11">
        <v>2.04</v>
      </c>
      <c r="Q24" s="25"/>
      <c r="R24" s="11">
        <v>3.59</v>
      </c>
      <c r="S24" s="25"/>
      <c r="T24" s="11">
        <v>4.38</v>
      </c>
      <c r="U24" s="25"/>
      <c r="V24" s="11">
        <v>8.18</v>
      </c>
      <c r="W24" s="25"/>
      <c r="X24" s="12">
        <f>10/ListDatas5[[#This Row],[10m (s) (avant)]]</f>
        <v>4.9019607843137258</v>
      </c>
      <c r="Y24" s="12">
        <f>ListDatas5[[#This Row],[m.s 10m]]*3.6</f>
        <v>17.647058823529413</v>
      </c>
      <c r="Z24" s="12">
        <f>20/ListDatas5[[#This Row],[20m (s) (avant)]]</f>
        <v>5.5710306406685239</v>
      </c>
      <c r="AA24" s="12">
        <f>ListDatas5[[#This Row],[m.s 20m]]*3.6</f>
        <v>20.055710306406688</v>
      </c>
      <c r="AB24" s="12">
        <f>25/ListDatas5[[#This Row],[25m (s) (avant)]]</f>
        <v>5.7077625570776256</v>
      </c>
      <c r="AC24" s="12">
        <f>ListDatas5[[#This Row],[m.s 25m]]*3.6</f>
        <v>20.547945205479454</v>
      </c>
      <c r="AD24" s="12">
        <f>50/ListDatas5[[#This Row],[50m (s) (avant)]]</f>
        <v>6.1124694376528117</v>
      </c>
      <c r="AE24" s="12">
        <f>ListDatas5[[#This Row],[m.s 50m]]*3.6</f>
        <v>22.004889975550121</v>
      </c>
      <c r="AF24" s="11">
        <v>180</v>
      </c>
    </row>
    <row r="25" spans="1:32" hidden="1" x14ac:dyDescent="0.25">
      <c r="A25" s="11" t="s">
        <v>27</v>
      </c>
      <c r="B25" s="11" t="s">
        <v>295</v>
      </c>
      <c r="C25" s="11" t="s">
        <v>24</v>
      </c>
      <c r="D25" s="11"/>
      <c r="E25" s="11">
        <v>55.6</v>
      </c>
      <c r="F25" s="25">
        <v>55.6</v>
      </c>
      <c r="G25" s="13"/>
      <c r="H25" s="13"/>
      <c r="I25" s="11">
        <v>50</v>
      </c>
      <c r="J25" s="25">
        <v>50</v>
      </c>
      <c r="K25" s="11">
        <v>45</v>
      </c>
      <c r="L25" s="25">
        <v>55</v>
      </c>
      <c r="M25" s="11">
        <v>100</v>
      </c>
      <c r="N25" s="25">
        <v>122.5</v>
      </c>
      <c r="O25" s="11">
        <v>0</v>
      </c>
      <c r="P25" s="11">
        <v>1.84</v>
      </c>
      <c r="Q25" s="25">
        <v>1.8</v>
      </c>
      <c r="R25" s="11">
        <v>3.26</v>
      </c>
      <c r="S25" s="25">
        <v>3.18</v>
      </c>
      <c r="T25" s="11">
        <v>3.96</v>
      </c>
      <c r="U25" s="25">
        <v>3.8</v>
      </c>
      <c r="V25" s="11">
        <v>7.48</v>
      </c>
      <c r="W25" s="25">
        <v>7.09</v>
      </c>
      <c r="X25" s="12">
        <f>10/ListDatas5[[#This Row],[10m (s) (avant)]]</f>
        <v>5.4347826086956523</v>
      </c>
      <c r="Y25" s="12">
        <f>ListDatas5[[#This Row],[m.s 10m]]*3.6</f>
        <v>19.565217391304348</v>
      </c>
      <c r="Z25" s="12">
        <f>20/ListDatas5[[#This Row],[20m (s) (avant)]]</f>
        <v>6.1349693251533743</v>
      </c>
      <c r="AA25" s="12">
        <f>ListDatas5[[#This Row],[m.s 20m]]*3.6</f>
        <v>22.085889570552148</v>
      </c>
      <c r="AB25" s="12">
        <f>25/ListDatas5[[#This Row],[25m (s) (avant)]]</f>
        <v>6.3131313131313131</v>
      </c>
      <c r="AC25" s="12">
        <f>ListDatas5[[#This Row],[m.s 25m]]*3.6</f>
        <v>22.727272727272727</v>
      </c>
      <c r="AD25" s="12">
        <f>50/ListDatas5[[#This Row],[50m (s) (avant)]]</f>
        <v>6.6844919786096249</v>
      </c>
      <c r="AE25" s="12">
        <f>ListDatas5[[#This Row],[m.s 50m]]*3.6</f>
        <v>24.064171122994651</v>
      </c>
      <c r="AF25" s="11">
        <v>199</v>
      </c>
    </row>
    <row r="26" spans="1:32" hidden="1" x14ac:dyDescent="0.25">
      <c r="A26" s="11" t="s">
        <v>38</v>
      </c>
      <c r="B26" s="11" t="s">
        <v>296</v>
      </c>
      <c r="C26" s="11" t="s">
        <v>24</v>
      </c>
      <c r="D26" s="11"/>
      <c r="E26" s="11">
        <v>69.2</v>
      </c>
      <c r="F26" s="25">
        <v>70.3</v>
      </c>
      <c r="G26" s="11">
        <v>760</v>
      </c>
      <c r="H26" s="11">
        <v>15.5</v>
      </c>
      <c r="I26" s="11">
        <v>55</v>
      </c>
      <c r="J26" s="25">
        <v>60</v>
      </c>
      <c r="K26" s="11">
        <v>55</v>
      </c>
      <c r="L26" s="25">
        <v>55</v>
      </c>
      <c r="M26" s="11">
        <v>90</v>
      </c>
      <c r="N26" s="25"/>
      <c r="O26" s="11">
        <v>0</v>
      </c>
      <c r="P26" s="11">
        <v>2.08</v>
      </c>
      <c r="Q26" s="25">
        <v>1.91</v>
      </c>
      <c r="R26" s="11">
        <v>3.59</v>
      </c>
      <c r="S26" s="25">
        <v>3.37</v>
      </c>
      <c r="T26" s="11">
        <v>4.3099999999999996</v>
      </c>
      <c r="U26" s="25">
        <v>4.0999999999999996</v>
      </c>
      <c r="V26" s="11">
        <v>7.98</v>
      </c>
      <c r="W26" s="25">
        <v>7.48</v>
      </c>
      <c r="X26" s="12">
        <f>10/ListDatas5[[#This Row],[10m (s) (avant)]]</f>
        <v>4.8076923076923075</v>
      </c>
      <c r="Y26" s="12">
        <f>ListDatas5[[#This Row],[m.s 10m]]*3.6</f>
        <v>17.307692307692307</v>
      </c>
      <c r="Z26" s="12">
        <f>20/ListDatas5[[#This Row],[20m (s) (avant)]]</f>
        <v>5.5710306406685239</v>
      </c>
      <c r="AA26" s="12">
        <f>ListDatas5[[#This Row],[m.s 20m]]*3.6</f>
        <v>20.055710306406688</v>
      </c>
      <c r="AB26" s="12">
        <f>25/ListDatas5[[#This Row],[25m (s) (avant)]]</f>
        <v>5.8004640371229703</v>
      </c>
      <c r="AC26" s="12">
        <f>ListDatas5[[#This Row],[m.s 25m]]*3.6</f>
        <v>20.881670533642694</v>
      </c>
      <c r="AD26" s="12">
        <f>50/ListDatas5[[#This Row],[50m (s) (avant)]]</f>
        <v>6.2656641604010019</v>
      </c>
      <c r="AE26" s="12">
        <f>ListDatas5[[#This Row],[m.s 50m]]*3.6</f>
        <v>22.556390977443609</v>
      </c>
      <c r="AF26" s="11">
        <v>200</v>
      </c>
    </row>
    <row r="27" spans="1:32" hidden="1" x14ac:dyDescent="0.25">
      <c r="A27" s="11" t="s">
        <v>53</v>
      </c>
      <c r="B27" s="11" t="s">
        <v>49</v>
      </c>
      <c r="C27" s="11" t="s">
        <v>24</v>
      </c>
      <c r="D27" s="11"/>
      <c r="E27" s="11">
        <v>71.900000000000006</v>
      </c>
      <c r="F27" s="25">
        <v>74.5</v>
      </c>
      <c r="G27" s="11">
        <v>440</v>
      </c>
      <c r="H27" s="11">
        <v>15.5</v>
      </c>
      <c r="I27" s="11">
        <v>42.5</v>
      </c>
      <c r="J27" s="25">
        <v>45</v>
      </c>
      <c r="K27" s="11">
        <v>49</v>
      </c>
      <c r="L27" s="25">
        <v>55</v>
      </c>
      <c r="M27" s="11">
        <v>80</v>
      </c>
      <c r="N27" s="25">
        <v>110</v>
      </c>
      <c r="O27" s="11">
        <v>0</v>
      </c>
      <c r="P27" s="11">
        <v>2.0499999999999998</v>
      </c>
      <c r="Q27" s="25">
        <v>1.96</v>
      </c>
      <c r="R27" s="11">
        <v>3.68</v>
      </c>
      <c r="S27" s="25">
        <v>3.5</v>
      </c>
      <c r="T27" s="11">
        <v>4.41</v>
      </c>
      <c r="U27" s="25">
        <v>4.34</v>
      </c>
      <c r="V27" s="11">
        <v>8.5</v>
      </c>
      <c r="W27" s="25">
        <v>8.1</v>
      </c>
      <c r="X27" s="12">
        <f>10/ListDatas5[[#This Row],[10m (s) (avant)]]</f>
        <v>4.8780487804878057</v>
      </c>
      <c r="Y27" s="12">
        <f>ListDatas5[[#This Row],[m.s 10m]]*3.6</f>
        <v>17.560975609756103</v>
      </c>
      <c r="Z27" s="12">
        <f>20/ListDatas5[[#This Row],[20m (s) (avant)]]</f>
        <v>5.4347826086956523</v>
      </c>
      <c r="AA27" s="12">
        <f>ListDatas5[[#This Row],[m.s 20m]]*3.6</f>
        <v>19.565217391304348</v>
      </c>
      <c r="AB27" s="12">
        <f>25/ListDatas5[[#This Row],[25m (s) (avant)]]</f>
        <v>5.6689342403628116</v>
      </c>
      <c r="AC27" s="12">
        <f>ListDatas5[[#This Row],[m.s 25m]]*3.6</f>
        <v>20.408163265306122</v>
      </c>
      <c r="AD27" s="12">
        <f>50/ListDatas5[[#This Row],[50m (s) (avant)]]</f>
        <v>5.882352941176471</v>
      </c>
      <c r="AE27" s="12">
        <f>ListDatas5[[#This Row],[m.s 50m]]*3.6</f>
        <v>21.176470588235297</v>
      </c>
      <c r="AF27" s="11">
        <v>185</v>
      </c>
    </row>
    <row r="28" spans="1:32" hidden="1" x14ac:dyDescent="0.25">
      <c r="A28" s="11" t="s">
        <v>25</v>
      </c>
      <c r="B28" s="11" t="s">
        <v>295</v>
      </c>
      <c r="C28" s="11" t="s">
        <v>24</v>
      </c>
      <c r="D28" s="11"/>
      <c r="E28" s="11">
        <v>60.1</v>
      </c>
      <c r="F28" s="25"/>
      <c r="G28" s="11">
        <v>880</v>
      </c>
      <c r="H28" s="11">
        <v>15.5</v>
      </c>
      <c r="I28" s="11">
        <v>37.5</v>
      </c>
      <c r="J28" s="25"/>
      <c r="K28" s="11">
        <v>50</v>
      </c>
      <c r="L28" s="25"/>
      <c r="M28" s="11">
        <v>80</v>
      </c>
      <c r="N28" s="25"/>
      <c r="O28" s="11">
        <v>0</v>
      </c>
      <c r="P28" s="11">
        <v>1.92</v>
      </c>
      <c r="Q28" s="25"/>
      <c r="R28" s="11">
        <v>3.3</v>
      </c>
      <c r="S28" s="25"/>
      <c r="T28" s="11">
        <v>3.99</v>
      </c>
      <c r="U28" s="25"/>
      <c r="V28" s="11">
        <v>7.36</v>
      </c>
      <c r="W28" s="25"/>
      <c r="X28" s="12">
        <f>10/ListDatas5[[#This Row],[10m (s) (avant)]]</f>
        <v>5.2083333333333339</v>
      </c>
      <c r="Y28" s="12">
        <f>ListDatas5[[#This Row],[m.s 10m]]*3.6</f>
        <v>18.750000000000004</v>
      </c>
      <c r="Z28" s="12">
        <f>20/ListDatas5[[#This Row],[20m (s) (avant)]]</f>
        <v>6.0606060606060606</v>
      </c>
      <c r="AA28" s="12">
        <f>ListDatas5[[#This Row],[m.s 20m]]*3.6</f>
        <v>21.81818181818182</v>
      </c>
      <c r="AB28" s="12">
        <f>25/ListDatas5[[#This Row],[25m (s) (avant)]]</f>
        <v>6.2656641604010019</v>
      </c>
      <c r="AC28" s="12">
        <f>ListDatas5[[#This Row],[m.s 25m]]*3.6</f>
        <v>22.556390977443609</v>
      </c>
      <c r="AD28" s="12">
        <f>50/ListDatas5[[#This Row],[50m (s) (avant)]]</f>
        <v>6.7934782608695645</v>
      </c>
      <c r="AE28" s="12">
        <f>ListDatas5[[#This Row],[m.s 50m]]*3.6</f>
        <v>24.456521739130434</v>
      </c>
      <c r="AF28" s="11">
        <v>203</v>
      </c>
    </row>
    <row r="29" spans="1:32" hidden="1" x14ac:dyDescent="0.25">
      <c r="A29" s="11" t="s">
        <v>51</v>
      </c>
      <c r="B29" s="11" t="s">
        <v>29</v>
      </c>
      <c r="C29" s="11" t="s">
        <v>24</v>
      </c>
      <c r="D29" s="11"/>
      <c r="E29" s="11">
        <v>64.7</v>
      </c>
      <c r="F29" s="25">
        <v>63.3</v>
      </c>
      <c r="G29" s="11">
        <v>1040</v>
      </c>
      <c r="H29" s="11">
        <v>16.5</v>
      </c>
      <c r="I29" s="11">
        <v>43</v>
      </c>
      <c r="J29" s="25">
        <v>50</v>
      </c>
      <c r="K29" s="11">
        <v>50</v>
      </c>
      <c r="L29" s="25">
        <v>50</v>
      </c>
      <c r="M29" s="11">
        <v>85</v>
      </c>
      <c r="N29" s="25">
        <v>105</v>
      </c>
      <c r="O29" s="11">
        <v>0</v>
      </c>
      <c r="P29" s="11">
        <v>2.02</v>
      </c>
      <c r="Q29" s="25">
        <v>1.96</v>
      </c>
      <c r="R29" s="11">
        <v>3.52</v>
      </c>
      <c r="S29" s="25">
        <v>3.47</v>
      </c>
      <c r="T29" s="11">
        <v>4.41</v>
      </c>
      <c r="U29" s="25">
        <v>4.3</v>
      </c>
      <c r="V29" s="11">
        <v>8.4700000000000006</v>
      </c>
      <c r="W29" s="25">
        <v>8.07</v>
      </c>
      <c r="X29" s="12">
        <f>10/ListDatas5[[#This Row],[10m (s) (avant)]]</f>
        <v>4.9504950495049505</v>
      </c>
      <c r="Y29" s="12">
        <f>ListDatas5[[#This Row],[m.s 10m]]*3.6</f>
        <v>17.821782178217823</v>
      </c>
      <c r="Z29" s="12">
        <f>20/ListDatas5[[#This Row],[20m (s) (avant)]]</f>
        <v>5.6818181818181817</v>
      </c>
      <c r="AA29" s="12">
        <f>ListDatas5[[#This Row],[m.s 20m]]*3.6</f>
        <v>20.454545454545453</v>
      </c>
      <c r="AB29" s="12">
        <f>25/ListDatas5[[#This Row],[25m (s) (avant)]]</f>
        <v>5.6689342403628116</v>
      </c>
      <c r="AC29" s="12">
        <f>ListDatas5[[#This Row],[m.s 25m]]*3.6</f>
        <v>20.408163265306122</v>
      </c>
      <c r="AD29" s="12">
        <f>50/ListDatas5[[#This Row],[50m (s) (avant)]]</f>
        <v>5.9031877213695392</v>
      </c>
      <c r="AE29" s="12">
        <f>ListDatas5[[#This Row],[m.s 50m]]*3.6</f>
        <v>21.251475796930343</v>
      </c>
      <c r="AF29" s="11">
        <v>183</v>
      </c>
    </row>
    <row r="30" spans="1:32" hidden="1" x14ac:dyDescent="0.25">
      <c r="A30" s="11" t="s">
        <v>32</v>
      </c>
      <c r="B30" s="11" t="s">
        <v>296</v>
      </c>
      <c r="C30" s="11" t="s">
        <v>24</v>
      </c>
      <c r="D30" s="11"/>
      <c r="E30" s="11">
        <v>69.900000000000006</v>
      </c>
      <c r="F30" s="25">
        <v>70</v>
      </c>
      <c r="G30" s="11">
        <v>560</v>
      </c>
      <c r="H30" s="13"/>
      <c r="I30" s="11">
        <v>42.5</v>
      </c>
      <c r="J30" s="25"/>
      <c r="K30" s="11">
        <v>52.5</v>
      </c>
      <c r="L30" s="25"/>
      <c r="M30" s="11">
        <v>100</v>
      </c>
      <c r="N30" s="25"/>
      <c r="O30" s="11">
        <v>0</v>
      </c>
      <c r="P30" s="11">
        <v>1.94</v>
      </c>
      <c r="Q30" s="25">
        <v>1.78</v>
      </c>
      <c r="R30" s="11">
        <v>3.39</v>
      </c>
      <c r="S30" s="25">
        <v>3.17</v>
      </c>
      <c r="T30" s="11">
        <v>4.07</v>
      </c>
      <c r="U30" s="25">
        <v>4</v>
      </c>
      <c r="V30" s="11">
        <v>7.62</v>
      </c>
      <c r="W30" s="25">
        <v>7.4</v>
      </c>
      <c r="X30" s="12">
        <f>10/ListDatas5[[#This Row],[10m (s) (avant)]]</f>
        <v>5.1546391752577323</v>
      </c>
      <c r="Y30" s="12">
        <f>ListDatas5[[#This Row],[m.s 10m]]*3.6</f>
        <v>18.556701030927837</v>
      </c>
      <c r="Z30" s="12">
        <f>20/ListDatas5[[#This Row],[20m (s) (avant)]]</f>
        <v>5.8997050147492622</v>
      </c>
      <c r="AA30" s="12">
        <f>ListDatas5[[#This Row],[m.s 20m]]*3.6</f>
        <v>21.238938053097346</v>
      </c>
      <c r="AB30" s="12">
        <f>25/ListDatas5[[#This Row],[25m (s) (avant)]]</f>
        <v>6.142506142506142</v>
      </c>
      <c r="AC30" s="12">
        <f>ListDatas5[[#This Row],[m.s 25m]]*3.6</f>
        <v>22.113022113022112</v>
      </c>
      <c r="AD30" s="12">
        <f>50/ListDatas5[[#This Row],[50m (s) (avant)]]</f>
        <v>6.5616797900262469</v>
      </c>
      <c r="AE30" s="12">
        <f>ListDatas5[[#This Row],[m.s 50m]]*3.6</f>
        <v>23.622047244094489</v>
      </c>
      <c r="AF30" s="11">
        <v>202</v>
      </c>
    </row>
    <row r="31" spans="1:32" hidden="1" x14ac:dyDescent="0.25">
      <c r="A31" s="11" t="s">
        <v>64</v>
      </c>
      <c r="B31" s="11"/>
      <c r="C31" s="11" t="s">
        <v>294</v>
      </c>
      <c r="D31" s="11"/>
      <c r="E31" s="11">
        <v>74.3</v>
      </c>
      <c r="F31" s="25">
        <v>78.900000000000006</v>
      </c>
      <c r="G31" s="11">
        <v>360</v>
      </c>
      <c r="H31" s="13"/>
      <c r="I31" s="13"/>
      <c r="J31" s="25"/>
      <c r="K31" s="13"/>
      <c r="L31" s="25"/>
      <c r="M31" s="13"/>
      <c r="N31" s="25"/>
      <c r="O31" s="11">
        <v>0</v>
      </c>
      <c r="P31" s="13"/>
      <c r="Q31" s="25"/>
      <c r="R31" s="13"/>
      <c r="S31" s="25"/>
      <c r="T31" s="13"/>
      <c r="U31" s="25"/>
      <c r="V31" s="13"/>
      <c r="W31" s="25"/>
      <c r="X31" s="12" t="e">
        <f>10/ListDatas5[[#This Row],[10m (s) (avant)]]</f>
        <v>#DIV/0!</v>
      </c>
      <c r="Y31" s="12" t="e">
        <f>ListDatas5[[#This Row],[m.s 10m]]*3.6</f>
        <v>#DIV/0!</v>
      </c>
      <c r="Z31" s="12" t="e">
        <f>20/ListDatas5[[#This Row],[20m (s) (avant)]]</f>
        <v>#DIV/0!</v>
      </c>
      <c r="AA31" s="12" t="e">
        <f>ListDatas5[[#This Row],[m.s 20m]]*3.6</f>
        <v>#DIV/0!</v>
      </c>
      <c r="AB31" s="12" t="e">
        <f>25/ListDatas5[[#This Row],[25m (s) (avant)]]</f>
        <v>#DIV/0!</v>
      </c>
      <c r="AC31" s="12" t="e">
        <f>ListDatas5[[#This Row],[m.s 25m]]*3.6</f>
        <v>#DIV/0!</v>
      </c>
      <c r="AD31" s="11" t="e">
        <f>50/ListDatas5[[#This Row],[50m (s) (avant)]]</f>
        <v>#DIV/0!</v>
      </c>
      <c r="AE31" s="12" t="e">
        <f>ListDatas5[[#This Row],[m.s 50m]]*3.6</f>
        <v>#DIV/0!</v>
      </c>
      <c r="AF31" s="13"/>
    </row>
    <row r="32" spans="1:32" hidden="1" x14ac:dyDescent="0.25">
      <c r="A32" s="11" t="s">
        <v>39</v>
      </c>
      <c r="B32" s="11" t="s">
        <v>295</v>
      </c>
      <c r="C32" s="11" t="s">
        <v>24</v>
      </c>
      <c r="D32" s="11"/>
      <c r="E32" s="11">
        <v>54.9</v>
      </c>
      <c r="F32" s="25">
        <v>56.4</v>
      </c>
      <c r="G32" s="11">
        <v>1040</v>
      </c>
      <c r="H32" s="11">
        <v>17</v>
      </c>
      <c r="I32" s="11">
        <v>37.5</v>
      </c>
      <c r="J32" s="25">
        <v>42.5</v>
      </c>
      <c r="K32" s="11">
        <v>49</v>
      </c>
      <c r="L32" s="25">
        <v>52.5</v>
      </c>
      <c r="M32" s="11">
        <v>80</v>
      </c>
      <c r="N32" s="25">
        <v>110</v>
      </c>
      <c r="O32" s="11">
        <v>0</v>
      </c>
      <c r="P32" s="11">
        <v>1.97</v>
      </c>
      <c r="Q32" s="25">
        <v>1.88</v>
      </c>
      <c r="R32" s="11">
        <v>3.47</v>
      </c>
      <c r="S32" s="25">
        <v>3.39</v>
      </c>
      <c r="T32" s="11">
        <v>4.28</v>
      </c>
      <c r="U32" s="25">
        <v>3.95</v>
      </c>
      <c r="V32" s="11">
        <v>8.02</v>
      </c>
      <c r="W32" s="25">
        <v>7.39</v>
      </c>
      <c r="X32" s="12">
        <f>10/ListDatas5[[#This Row],[10m (s) (avant)]]</f>
        <v>5.0761421319796955</v>
      </c>
      <c r="Y32" s="12">
        <f>ListDatas5[[#This Row],[m.s 10m]]*3.6</f>
        <v>18.274111675126903</v>
      </c>
      <c r="Z32" s="12">
        <f>20/ListDatas5[[#This Row],[20m (s) (avant)]]</f>
        <v>5.7636887608069163</v>
      </c>
      <c r="AA32" s="12">
        <f>ListDatas5[[#This Row],[m.s 20m]]*3.6</f>
        <v>20.749279538904901</v>
      </c>
      <c r="AB32" s="12">
        <f>25/ListDatas5[[#This Row],[25m (s) (avant)]]</f>
        <v>5.8411214953271022</v>
      </c>
      <c r="AC32" s="12">
        <f>ListDatas5[[#This Row],[m.s 25m]]*3.6</f>
        <v>21.028037383177569</v>
      </c>
      <c r="AD32" s="12">
        <f>50/ListDatas5[[#This Row],[50m (s) (avant)]]</f>
        <v>6.2344139650872821</v>
      </c>
      <c r="AE32" s="12">
        <f>ListDatas5[[#This Row],[m.s 50m]]*3.6</f>
        <v>22.443890274314217</v>
      </c>
      <c r="AF32" s="11">
        <v>175</v>
      </c>
    </row>
    <row r="33" spans="1:32" hidden="1" x14ac:dyDescent="0.25">
      <c r="A33" s="11" t="s">
        <v>30</v>
      </c>
      <c r="B33" s="11" t="s">
        <v>31</v>
      </c>
      <c r="C33" s="11" t="s">
        <v>24</v>
      </c>
      <c r="D33" s="11"/>
      <c r="E33" s="11">
        <v>65.400000000000006</v>
      </c>
      <c r="F33" s="25">
        <v>67.400000000000006</v>
      </c>
      <c r="G33" s="11">
        <v>760</v>
      </c>
      <c r="H33" s="11">
        <v>16.5</v>
      </c>
      <c r="I33" s="11">
        <v>55</v>
      </c>
      <c r="J33" s="25">
        <v>60</v>
      </c>
      <c r="K33" s="11">
        <v>55</v>
      </c>
      <c r="L33" s="25">
        <v>63</v>
      </c>
      <c r="M33" s="11">
        <v>110</v>
      </c>
      <c r="N33" s="25">
        <v>135</v>
      </c>
      <c r="O33" s="11">
        <v>0</v>
      </c>
      <c r="P33" s="11">
        <v>1.99</v>
      </c>
      <c r="Q33" s="25">
        <v>1.87</v>
      </c>
      <c r="R33" s="11">
        <v>3.43</v>
      </c>
      <c r="S33" s="25">
        <v>3.27</v>
      </c>
      <c r="T33" s="11">
        <v>4.12</v>
      </c>
      <c r="U33" s="25">
        <v>4.01</v>
      </c>
      <c r="V33" s="11">
        <v>7.61</v>
      </c>
      <c r="W33" s="25">
        <v>7.34</v>
      </c>
      <c r="X33" s="12">
        <f>10/ListDatas5[[#This Row],[10m (s) (avant)]]</f>
        <v>5.025125628140704</v>
      </c>
      <c r="Y33" s="12">
        <f>ListDatas5[[#This Row],[m.s 10m]]*3.6</f>
        <v>18.090452261306535</v>
      </c>
      <c r="Z33" s="12">
        <f>20/ListDatas5[[#This Row],[20m (s) (avant)]]</f>
        <v>5.8309037900874632</v>
      </c>
      <c r="AA33" s="12">
        <f>ListDatas5[[#This Row],[m.s 20m]]*3.6</f>
        <v>20.991253644314867</v>
      </c>
      <c r="AB33" s="12">
        <f>25/ListDatas5[[#This Row],[25m (s) (avant)]]</f>
        <v>6.0679611650485432</v>
      </c>
      <c r="AC33" s="12">
        <f>ListDatas5[[#This Row],[m.s 25m]]*3.6</f>
        <v>21.844660194174757</v>
      </c>
      <c r="AD33" s="12">
        <f>50/ListDatas5[[#This Row],[50m (s) (avant)]]</f>
        <v>6.5703022339027592</v>
      </c>
      <c r="AE33" s="12">
        <f>ListDatas5[[#This Row],[m.s 50m]]*3.6</f>
        <v>23.653088042049934</v>
      </c>
      <c r="AF33" s="21">
        <v>192</v>
      </c>
    </row>
    <row r="34" spans="1:32" hidden="1" x14ac:dyDescent="0.25">
      <c r="A34" s="11" t="s">
        <v>33</v>
      </c>
      <c r="B34" s="11" t="s">
        <v>295</v>
      </c>
      <c r="C34" s="11" t="s">
        <v>24</v>
      </c>
      <c r="D34" s="11"/>
      <c r="E34" s="11">
        <v>65.099999999999994</v>
      </c>
      <c r="F34" s="25">
        <v>64.599999999999994</v>
      </c>
      <c r="G34" s="11">
        <v>1080</v>
      </c>
      <c r="H34" s="11">
        <v>17</v>
      </c>
      <c r="I34" s="11">
        <v>35</v>
      </c>
      <c r="J34" s="25">
        <v>47.5</v>
      </c>
      <c r="K34" s="11">
        <v>55</v>
      </c>
      <c r="L34" s="25">
        <v>62.5</v>
      </c>
      <c r="M34" s="11">
        <v>90</v>
      </c>
      <c r="N34" s="25">
        <v>145</v>
      </c>
      <c r="O34" s="11">
        <v>0</v>
      </c>
      <c r="P34" s="11">
        <v>1.95</v>
      </c>
      <c r="Q34" s="25">
        <v>1.83</v>
      </c>
      <c r="R34" s="11">
        <v>3.37</v>
      </c>
      <c r="S34" s="25">
        <v>3.24</v>
      </c>
      <c r="T34" s="11">
        <v>4.0999999999999996</v>
      </c>
      <c r="U34" s="25">
        <v>3.96</v>
      </c>
      <c r="V34" s="11">
        <v>7.69</v>
      </c>
      <c r="W34" s="25">
        <v>7.38</v>
      </c>
      <c r="X34" s="12">
        <f>10/ListDatas5[[#This Row],[10m (s) (avant)]]</f>
        <v>5.1282051282051286</v>
      </c>
      <c r="Y34" s="12">
        <f>ListDatas5[[#This Row],[m.s 10m]]*3.6</f>
        <v>18.461538461538463</v>
      </c>
      <c r="Z34" s="12">
        <f>20/ListDatas5[[#This Row],[20m (s) (avant)]]</f>
        <v>5.9347181008902075</v>
      </c>
      <c r="AA34" s="12">
        <f>ListDatas5[[#This Row],[m.s 20m]]*3.6</f>
        <v>21.364985163204746</v>
      </c>
      <c r="AB34" s="12">
        <f>25/ListDatas5[[#This Row],[25m (s) (avant)]]</f>
        <v>6.0975609756097562</v>
      </c>
      <c r="AC34" s="12">
        <f>ListDatas5[[#This Row],[m.s 25m]]*3.6</f>
        <v>21.951219512195124</v>
      </c>
      <c r="AD34" s="12">
        <f>50/ListDatas5[[#This Row],[50m (s) (avant)]]</f>
        <v>6.5019505851755524</v>
      </c>
      <c r="AE34" s="12">
        <f>ListDatas5[[#This Row],[m.s 50m]]*3.6</f>
        <v>23.407022106631988</v>
      </c>
      <c r="AF34" s="11">
        <v>192</v>
      </c>
    </row>
    <row r="35" spans="1:32" x14ac:dyDescent="0.25">
      <c r="A35" s="11" t="s">
        <v>40</v>
      </c>
      <c r="B35" s="11" t="s">
        <v>31</v>
      </c>
      <c r="C35" s="11" t="s">
        <v>24</v>
      </c>
      <c r="D35" s="11"/>
      <c r="E35" s="11">
        <v>58.1</v>
      </c>
      <c r="F35" s="25">
        <v>59.4</v>
      </c>
      <c r="G35" s="11">
        <v>720</v>
      </c>
      <c r="H35" s="11">
        <v>15.5</v>
      </c>
      <c r="I35" s="11">
        <v>35</v>
      </c>
      <c r="J35" s="25">
        <v>42.5</v>
      </c>
      <c r="K35" s="11">
        <v>42.5</v>
      </c>
      <c r="L35" s="25">
        <v>50</v>
      </c>
      <c r="M35" s="11">
        <v>75</v>
      </c>
      <c r="N35" s="25">
        <v>110</v>
      </c>
      <c r="O35" s="11">
        <v>0</v>
      </c>
      <c r="P35" s="11">
        <v>1.99</v>
      </c>
      <c r="Q35" s="25">
        <v>1.83</v>
      </c>
      <c r="R35" s="11">
        <v>3.52</v>
      </c>
      <c r="S35" s="25">
        <v>3.26</v>
      </c>
      <c r="T35" s="11">
        <v>4.22</v>
      </c>
      <c r="U35" s="25">
        <v>3.97</v>
      </c>
      <c r="V35" s="11">
        <v>8.0299999999999994</v>
      </c>
      <c r="W35" s="25">
        <v>7.37</v>
      </c>
      <c r="X35" s="12">
        <f>10/ListDatas5[[#This Row],[10m (s) (avant)]]</f>
        <v>5.025125628140704</v>
      </c>
      <c r="Y35" s="12">
        <f>ListDatas5[[#This Row],[m.s 10m]]*3.6</f>
        <v>18.090452261306535</v>
      </c>
      <c r="Z35" s="12">
        <f>20/ListDatas5[[#This Row],[20m (s) (avant)]]</f>
        <v>5.6818181818181817</v>
      </c>
      <c r="AA35" s="12">
        <f>ListDatas5[[#This Row],[m.s 20m]]*3.6</f>
        <v>20.454545454545453</v>
      </c>
      <c r="AB35" s="12">
        <f>25/ListDatas5[[#This Row],[25m (s) (avant)]]</f>
        <v>5.9241706161137442</v>
      </c>
      <c r="AC35" s="12">
        <f>ListDatas5[[#This Row],[m.s 25m]]*3.6</f>
        <v>21.327014218009481</v>
      </c>
      <c r="AD35" s="12">
        <f>50/ListDatas5[[#This Row],[50m (s) (avant)]]</f>
        <v>6.2266500622665015</v>
      </c>
      <c r="AE35" s="12">
        <f>ListDatas5[[#This Row],[m.s 50m]]*3.6</f>
        <v>22.415940224159407</v>
      </c>
      <c r="AF35" s="11">
        <v>189</v>
      </c>
    </row>
    <row r="36" spans="1:32" hidden="1" x14ac:dyDescent="0.25">
      <c r="A36" s="11" t="s">
        <v>65</v>
      </c>
      <c r="B36" s="11" t="s">
        <v>29</v>
      </c>
      <c r="C36" s="11" t="s">
        <v>24</v>
      </c>
      <c r="D36" s="11"/>
      <c r="E36" s="11">
        <v>66.3</v>
      </c>
      <c r="F36" s="25">
        <v>66.2</v>
      </c>
      <c r="G36" s="11">
        <v>640</v>
      </c>
      <c r="H36" s="11">
        <v>14</v>
      </c>
      <c r="I36" s="11">
        <v>38</v>
      </c>
      <c r="J36" s="25">
        <v>40</v>
      </c>
      <c r="K36" s="11">
        <v>38.5</v>
      </c>
      <c r="L36" s="25">
        <v>50</v>
      </c>
      <c r="M36" s="11">
        <v>80</v>
      </c>
      <c r="N36" s="25">
        <v>110</v>
      </c>
      <c r="O36" s="11">
        <v>0</v>
      </c>
      <c r="P36" s="11">
        <v>2.19</v>
      </c>
      <c r="Q36" s="25">
        <v>2.06</v>
      </c>
      <c r="R36" s="11">
        <v>3.88</v>
      </c>
      <c r="S36" s="25">
        <v>3.75</v>
      </c>
      <c r="T36" s="13"/>
      <c r="U36" s="25">
        <v>4.75</v>
      </c>
      <c r="V36" s="13"/>
      <c r="W36" s="25">
        <v>8.5</v>
      </c>
      <c r="X36" s="12">
        <f>10/ListDatas5[[#This Row],[10m (s) (avant)]]</f>
        <v>4.5662100456621006</v>
      </c>
      <c r="Y36" s="12">
        <f>ListDatas5[[#This Row],[m.s 10m]]*3.6</f>
        <v>16.438356164383563</v>
      </c>
      <c r="Z36" s="12">
        <f>20/ListDatas5[[#This Row],[20m (s) (avant)]]</f>
        <v>5.1546391752577323</v>
      </c>
      <c r="AA36" s="12">
        <f>ListDatas5[[#This Row],[m.s 20m]]*3.6</f>
        <v>18.556701030927837</v>
      </c>
      <c r="AB36" s="12" t="e">
        <f>25/ListDatas5[[#This Row],[25m (s) (avant)]]</f>
        <v>#DIV/0!</v>
      </c>
      <c r="AC36" s="12" t="e">
        <f>ListDatas5[[#This Row],[m.s 25m]]*3.6</f>
        <v>#DIV/0!</v>
      </c>
      <c r="AD36" s="12" t="e">
        <f>50/ListDatas5[[#This Row],[50m (s) (avant)]]</f>
        <v>#DIV/0!</v>
      </c>
      <c r="AE36" s="12" t="e">
        <f>ListDatas5[[#This Row],[m.s 50m]]*3.6</f>
        <v>#DIV/0!</v>
      </c>
      <c r="AF36" s="11">
        <v>164</v>
      </c>
    </row>
    <row r="37" spans="1:32" hidden="1" x14ac:dyDescent="0.25">
      <c r="A37" s="11" t="s">
        <v>54</v>
      </c>
      <c r="B37" s="11" t="s">
        <v>49</v>
      </c>
      <c r="C37" s="11" t="s">
        <v>24</v>
      </c>
      <c r="D37" s="11"/>
      <c r="E37" s="11">
        <v>63.9</v>
      </c>
      <c r="F37" s="25">
        <v>63.7</v>
      </c>
      <c r="G37" s="11">
        <v>920</v>
      </c>
      <c r="H37" s="11">
        <v>17</v>
      </c>
      <c r="I37" s="11">
        <v>50</v>
      </c>
      <c r="J37" s="25">
        <v>55</v>
      </c>
      <c r="K37" s="11">
        <v>40</v>
      </c>
      <c r="L37" s="25">
        <v>60</v>
      </c>
      <c r="M37" s="11">
        <v>100</v>
      </c>
      <c r="N37" s="25">
        <v>125</v>
      </c>
      <c r="O37" s="11">
        <v>0</v>
      </c>
      <c r="P37" s="11">
        <v>2.0699999999999998</v>
      </c>
      <c r="Q37" s="25">
        <v>1.89</v>
      </c>
      <c r="R37" s="11">
        <v>3.65</v>
      </c>
      <c r="S37" s="25">
        <v>3.37</v>
      </c>
      <c r="T37" s="11">
        <v>4.55</v>
      </c>
      <c r="U37" s="25">
        <v>4.21</v>
      </c>
      <c r="V37" s="11">
        <v>8.64</v>
      </c>
      <c r="W37" s="25">
        <v>7.93</v>
      </c>
      <c r="X37" s="12">
        <f>10/ListDatas5[[#This Row],[10m (s) (avant)]]</f>
        <v>4.8309178743961354</v>
      </c>
      <c r="Y37" s="12">
        <f>ListDatas5[[#This Row],[m.s 10m]]*3.6</f>
        <v>17.39130434782609</v>
      </c>
      <c r="Z37" s="12">
        <f>20/ListDatas5[[#This Row],[20m (s) (avant)]]</f>
        <v>5.4794520547945202</v>
      </c>
      <c r="AA37" s="12">
        <f>ListDatas5[[#This Row],[m.s 20m]]*3.6</f>
        <v>19.726027397260275</v>
      </c>
      <c r="AB37" s="12">
        <f>25/ListDatas5[[#This Row],[25m (s) (avant)]]</f>
        <v>5.4945054945054945</v>
      </c>
      <c r="AC37" s="12">
        <f>ListDatas5[[#This Row],[m.s 25m]]*3.6</f>
        <v>19.780219780219781</v>
      </c>
      <c r="AD37" s="12">
        <f>50/ListDatas5[[#This Row],[50m (s) (avant)]]</f>
        <v>5.7870370370370363</v>
      </c>
      <c r="AE37" s="12">
        <f>ListDatas5[[#This Row],[m.s 50m]]*3.6</f>
        <v>20.833333333333332</v>
      </c>
      <c r="AF37" s="11">
        <v>167</v>
      </c>
    </row>
    <row r="40" spans="1:32" x14ac:dyDescent="0.25">
      <c r="F40" s="22" t="s">
        <v>301</v>
      </c>
      <c r="G40" t="s">
        <v>318</v>
      </c>
      <c r="H40" t="s">
        <v>319</v>
      </c>
      <c r="I40" t="s">
        <v>320</v>
      </c>
      <c r="J40" t="s">
        <v>321</v>
      </c>
      <c r="K40" t="s">
        <v>322</v>
      </c>
      <c r="L40" t="s">
        <v>323</v>
      </c>
      <c r="M40" t="s">
        <v>324</v>
      </c>
      <c r="N40" t="s">
        <v>325</v>
      </c>
    </row>
    <row r="41" spans="1:32" x14ac:dyDescent="0.25">
      <c r="F41" s="23" t="s">
        <v>295</v>
      </c>
      <c r="G41">
        <v>11.309999999999999</v>
      </c>
      <c r="H41">
        <v>7.33</v>
      </c>
      <c r="I41">
        <v>19.82</v>
      </c>
      <c r="J41">
        <v>13</v>
      </c>
      <c r="K41">
        <v>20.060000000000002</v>
      </c>
      <c r="L41">
        <v>15.620000000000001</v>
      </c>
      <c r="M41">
        <v>37.49</v>
      </c>
      <c r="N41">
        <v>29</v>
      </c>
    </row>
    <row r="42" spans="1:32" x14ac:dyDescent="0.25">
      <c r="F42" s="28" t="s">
        <v>62</v>
      </c>
      <c r="G42">
        <v>1.92</v>
      </c>
      <c r="H42">
        <v>1.82</v>
      </c>
      <c r="I42">
        <v>3.32</v>
      </c>
      <c r="J42">
        <v>3.19</v>
      </c>
      <c r="L42">
        <v>3.91</v>
      </c>
      <c r="N42">
        <v>7.14</v>
      </c>
    </row>
    <row r="43" spans="1:32" x14ac:dyDescent="0.25">
      <c r="F43" s="28" t="s">
        <v>23</v>
      </c>
      <c r="G43">
        <v>1.71</v>
      </c>
      <c r="I43">
        <v>3.1</v>
      </c>
      <c r="K43">
        <v>3.73</v>
      </c>
      <c r="M43">
        <v>6.94</v>
      </c>
    </row>
    <row r="44" spans="1:32" x14ac:dyDescent="0.25">
      <c r="F44" s="28" t="s">
        <v>27</v>
      </c>
      <c r="G44">
        <v>1.84</v>
      </c>
      <c r="H44">
        <v>1.8</v>
      </c>
      <c r="I44">
        <v>3.26</v>
      </c>
      <c r="J44">
        <v>3.18</v>
      </c>
      <c r="K44">
        <v>3.96</v>
      </c>
      <c r="L44">
        <v>3.8</v>
      </c>
      <c r="M44">
        <v>7.48</v>
      </c>
      <c r="N44">
        <v>7.09</v>
      </c>
    </row>
    <row r="45" spans="1:32" x14ac:dyDescent="0.25">
      <c r="F45" s="28" t="s">
        <v>25</v>
      </c>
      <c r="G45">
        <v>1.92</v>
      </c>
      <c r="I45">
        <v>3.3</v>
      </c>
      <c r="K45">
        <v>3.99</v>
      </c>
      <c r="M45">
        <v>7.36</v>
      </c>
    </row>
    <row r="46" spans="1:32" x14ac:dyDescent="0.25">
      <c r="F46" s="28" t="s">
        <v>39</v>
      </c>
      <c r="G46">
        <v>1.97</v>
      </c>
      <c r="H46">
        <v>1.88</v>
      </c>
      <c r="I46">
        <v>3.47</v>
      </c>
      <c r="J46">
        <v>3.39</v>
      </c>
      <c r="K46">
        <v>4.28</v>
      </c>
      <c r="L46">
        <v>3.95</v>
      </c>
      <c r="M46">
        <v>8.02</v>
      </c>
      <c r="N46">
        <v>7.39</v>
      </c>
    </row>
    <row r="47" spans="1:32" x14ac:dyDescent="0.25">
      <c r="F47" s="28" t="s">
        <v>33</v>
      </c>
      <c r="G47">
        <v>1.95</v>
      </c>
      <c r="H47">
        <v>1.83</v>
      </c>
      <c r="I47">
        <v>3.37</v>
      </c>
      <c r="J47">
        <v>3.24</v>
      </c>
      <c r="K47">
        <v>4.0999999999999996</v>
      </c>
      <c r="L47">
        <v>3.96</v>
      </c>
      <c r="M47">
        <v>7.69</v>
      </c>
      <c r="N47">
        <v>7.38</v>
      </c>
    </row>
    <row r="48" spans="1:32" x14ac:dyDescent="0.25">
      <c r="F48" s="23" t="s">
        <v>302</v>
      </c>
      <c r="G48">
        <v>11.309999999999999</v>
      </c>
      <c r="H48">
        <v>7.33</v>
      </c>
      <c r="I48">
        <v>19.82</v>
      </c>
      <c r="J48">
        <v>13</v>
      </c>
      <c r="K48">
        <v>20.060000000000002</v>
      </c>
      <c r="L48">
        <v>15.620000000000001</v>
      </c>
      <c r="M48">
        <v>37.49</v>
      </c>
      <c r="N48">
        <v>29</v>
      </c>
    </row>
  </sheetData>
  <dataValidations count="1">
    <dataValidation type="list" allowBlank="1" showInputMessage="1" showErrorMessage="1" sqref="B2:B37" xr:uid="{592DEC5B-8E33-4A29-AA9A-B8A7C2561FEE}">
      <formula1>ListPoste</formula1>
    </dataValidation>
  </dataValidations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B7629-DA6C-45A0-A82C-5D1A7C19E9C6}">
  <dimension ref="A1:BA79"/>
  <sheetViews>
    <sheetView zoomScale="70" zoomScaleNormal="70" workbookViewId="0">
      <pane xSplit="1" topLeftCell="G1" activePane="topRight" state="frozen"/>
      <selection activeCell="A18" sqref="A18"/>
      <selection pane="topRight" activeCell="J23" sqref="J23"/>
    </sheetView>
  </sheetViews>
  <sheetFormatPr baseColWidth="10" defaultColWidth="10.5703125" defaultRowHeight="15" x14ac:dyDescent="0.25"/>
  <cols>
    <col min="1" max="1" width="12.42578125" bestFit="1" customWidth="1"/>
    <col min="2" max="2" width="13.85546875" bestFit="1" customWidth="1"/>
    <col min="3" max="3" width="16" bestFit="1" customWidth="1"/>
    <col min="4" max="4" width="14" bestFit="1" customWidth="1"/>
    <col min="5" max="5" width="13.7109375" bestFit="1" customWidth="1"/>
    <col min="6" max="6" width="22.85546875" bestFit="1" customWidth="1"/>
    <col min="7" max="7" width="16.28515625" customWidth="1"/>
    <col min="8" max="8" width="19.28515625" bestFit="1" customWidth="1"/>
    <col min="9" max="9" width="19.28515625" customWidth="1"/>
    <col min="10" max="10" width="22.42578125" bestFit="1" customWidth="1"/>
    <col min="11" max="11" width="12.85546875" bestFit="1" customWidth="1"/>
    <col min="12" max="12" width="16.7109375" bestFit="1" customWidth="1"/>
    <col min="13" max="13" width="22" bestFit="1" customWidth="1"/>
    <col min="14" max="14" width="18.140625" bestFit="1" customWidth="1"/>
    <col min="15" max="15" width="27.42578125" bestFit="1" customWidth="1"/>
    <col min="16" max="16" width="6.42578125" bestFit="1" customWidth="1"/>
    <col min="23" max="27" width="14.5703125" customWidth="1"/>
    <col min="28" max="28" width="13.5703125" customWidth="1"/>
    <col min="29" max="29" width="19.28515625" bestFit="1" customWidth="1"/>
    <col min="30" max="31" width="13" customWidth="1"/>
    <col min="32" max="32" width="12.42578125" customWidth="1"/>
    <col min="33" max="33" width="14" bestFit="1" customWidth="1"/>
    <col min="34" max="34" width="10" customWidth="1"/>
  </cols>
  <sheetData>
    <row r="1" spans="1:5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293</v>
      </c>
      <c r="G1" s="10" t="s">
        <v>326</v>
      </c>
      <c r="H1" s="10" t="s">
        <v>327</v>
      </c>
      <c r="I1" s="10" t="s">
        <v>328</v>
      </c>
      <c r="J1" s="10" t="s">
        <v>329</v>
      </c>
      <c r="K1" s="10" t="s">
        <v>5</v>
      </c>
      <c r="L1" s="10" t="s">
        <v>6</v>
      </c>
      <c r="M1" s="10" t="s">
        <v>7</v>
      </c>
      <c r="N1" s="10" t="s">
        <v>8</v>
      </c>
      <c r="O1" s="10" t="s">
        <v>299</v>
      </c>
      <c r="P1" s="10" t="s">
        <v>9</v>
      </c>
      <c r="Q1" s="10" t="s">
        <v>10</v>
      </c>
      <c r="R1" s="10" t="s">
        <v>11</v>
      </c>
      <c r="S1" s="10" t="s">
        <v>12</v>
      </c>
      <c r="T1" s="10" t="s">
        <v>13</v>
      </c>
      <c r="U1" s="10" t="s">
        <v>14</v>
      </c>
      <c r="V1" s="10" t="s">
        <v>15</v>
      </c>
      <c r="W1" s="10" t="s">
        <v>16</v>
      </c>
      <c r="X1" s="10" t="s">
        <v>17</v>
      </c>
      <c r="Y1" s="10" t="s">
        <v>18</v>
      </c>
      <c r="Z1" s="10" t="s">
        <v>19</v>
      </c>
      <c r="AA1" s="10" t="s">
        <v>20</v>
      </c>
      <c r="AB1" s="10" t="s">
        <v>21</v>
      </c>
      <c r="AC1" s="10" t="s">
        <v>22</v>
      </c>
      <c r="AE1" s="2"/>
    </row>
    <row r="2" spans="1:51" x14ac:dyDescent="0.25">
      <c r="A2" s="11" t="s">
        <v>56</v>
      </c>
      <c r="B2" s="11" t="s">
        <v>45</v>
      </c>
      <c r="C2" s="11" t="s">
        <v>300</v>
      </c>
      <c r="D2" s="11"/>
      <c r="E2" s="11">
        <v>70.7</v>
      </c>
      <c r="F2" s="18">
        <v>560</v>
      </c>
      <c r="G2" s="18">
        <v>14.1</v>
      </c>
      <c r="H2" s="18">
        <v>21.8</v>
      </c>
      <c r="I2" s="31">
        <f>ListDatas3[[#This Row],[Flexion]]/ListDatas3[[#This Row],[Extension]]</f>
        <v>0.64678899082568808</v>
      </c>
      <c r="J2" s="33">
        <f>(ListDatas3[[#This Row],[Extension]]/ListDatas3[[#This Row],[Poids (kg)]])*100</f>
        <v>30.834512022630832</v>
      </c>
      <c r="K2" s="11"/>
      <c r="L2" s="11">
        <v>42.5</v>
      </c>
      <c r="M2" s="11">
        <v>50</v>
      </c>
      <c r="N2" s="11">
        <v>95</v>
      </c>
      <c r="O2" s="11">
        <v>125</v>
      </c>
      <c r="P2" s="11">
        <v>0</v>
      </c>
      <c r="Q2" s="11">
        <v>2.04</v>
      </c>
      <c r="R2" s="11">
        <v>3.66</v>
      </c>
      <c r="S2" s="11">
        <v>4.4400000000000004</v>
      </c>
      <c r="T2" s="11">
        <v>8.41</v>
      </c>
      <c r="U2" s="12"/>
      <c r="V2" s="12"/>
      <c r="W2" s="12"/>
      <c r="X2" s="12"/>
      <c r="Y2" s="12"/>
      <c r="Z2" s="12"/>
      <c r="AA2" s="12"/>
      <c r="AB2" s="12"/>
      <c r="AC2" s="11"/>
      <c r="AE2" s="3"/>
      <c r="AW2" s="5"/>
    </row>
    <row r="3" spans="1:51" x14ac:dyDescent="0.25">
      <c r="A3" s="11" t="s">
        <v>35</v>
      </c>
      <c r="B3" s="11" t="s">
        <v>36</v>
      </c>
      <c r="C3" s="11" t="s">
        <v>300</v>
      </c>
      <c r="D3" s="11"/>
      <c r="E3" s="11">
        <v>61.7</v>
      </c>
      <c r="F3" s="18">
        <v>1480</v>
      </c>
      <c r="G3" s="18">
        <v>13.3</v>
      </c>
      <c r="H3" s="18">
        <v>20.6</v>
      </c>
      <c r="I3" s="31">
        <f>ListDatas3[[#This Row],[Flexion]]/ListDatas3[[#This Row],[Extension]]</f>
        <v>0.64563106796116498</v>
      </c>
      <c r="J3" s="33">
        <f>(ListDatas3[[#This Row],[Extension]]/ListDatas3[[#This Row],[Poids (kg)]])*100</f>
        <v>33.387358184764992</v>
      </c>
      <c r="K3" s="11"/>
      <c r="L3" s="11">
        <v>45</v>
      </c>
      <c r="M3" s="11">
        <v>50</v>
      </c>
      <c r="N3" s="11">
        <v>125</v>
      </c>
      <c r="O3" s="11">
        <v>120</v>
      </c>
      <c r="P3" s="11">
        <v>0</v>
      </c>
      <c r="Q3" s="11">
        <v>1.82</v>
      </c>
      <c r="R3" s="11">
        <v>3.26</v>
      </c>
      <c r="S3" s="11">
        <v>3.92</v>
      </c>
      <c r="T3" s="11">
        <v>7.27</v>
      </c>
      <c r="U3" s="12"/>
      <c r="V3" s="12"/>
      <c r="W3" s="12"/>
      <c r="X3" s="12"/>
      <c r="Y3" s="12"/>
      <c r="Z3" s="12"/>
      <c r="AA3" s="12"/>
      <c r="AB3" s="12"/>
      <c r="AC3" s="11">
        <v>200</v>
      </c>
      <c r="AE3" s="3"/>
      <c r="AW3" s="3"/>
      <c r="AY3" s="3"/>
    </row>
    <row r="4" spans="1:51" s="16" customFormat="1" x14ac:dyDescent="0.25">
      <c r="A4" s="11" t="s">
        <v>44</v>
      </c>
      <c r="B4" s="11" t="s">
        <v>45</v>
      </c>
      <c r="C4" s="11" t="s">
        <v>300</v>
      </c>
      <c r="D4" s="11"/>
      <c r="E4" s="11">
        <v>76</v>
      </c>
      <c r="F4" s="18">
        <v>560</v>
      </c>
      <c r="G4" s="18">
        <v>15.2</v>
      </c>
      <c r="H4" s="18">
        <v>25.9</v>
      </c>
      <c r="I4" s="31">
        <f>ListDatas3[[#This Row],[Flexion]]/ListDatas3[[#This Row],[Extension]]</f>
        <v>0.58687258687258692</v>
      </c>
      <c r="J4" s="33">
        <f>(ListDatas3[[#This Row],[Extension]]/ListDatas3[[#This Row],[Poids (kg)]])*100</f>
        <v>34.078947368421055</v>
      </c>
      <c r="K4" s="11"/>
      <c r="L4" s="15">
        <v>60</v>
      </c>
      <c r="M4" s="15"/>
      <c r="N4" s="15"/>
      <c r="O4" s="15"/>
      <c r="P4" s="15">
        <v>0</v>
      </c>
      <c r="Q4" s="15"/>
      <c r="R4" s="15"/>
      <c r="S4" s="15"/>
      <c r="T4" s="15"/>
      <c r="U4" s="12"/>
      <c r="V4" s="12"/>
      <c r="W4" s="12"/>
      <c r="X4" s="12"/>
      <c r="Y4" s="12"/>
      <c r="Z4" s="12"/>
      <c r="AA4" s="12"/>
      <c r="AB4" s="12"/>
      <c r="AC4" s="11"/>
      <c r="AE4" s="17"/>
      <c r="AW4" s="17"/>
      <c r="AY4" s="17"/>
    </row>
    <row r="5" spans="1:51" x14ac:dyDescent="0.25">
      <c r="A5" s="11" t="s">
        <v>59</v>
      </c>
      <c r="B5" s="11" t="s">
        <v>45</v>
      </c>
      <c r="C5" s="11" t="s">
        <v>300</v>
      </c>
      <c r="D5" s="11"/>
      <c r="E5" s="11">
        <v>87.4</v>
      </c>
      <c r="F5" s="18">
        <v>440</v>
      </c>
      <c r="G5" s="18">
        <v>21.5</v>
      </c>
      <c r="H5" s="18">
        <v>25.6</v>
      </c>
      <c r="I5" s="31">
        <f>ListDatas3[[#This Row],[Flexion]]/ListDatas3[[#This Row],[Extension]]</f>
        <v>0.83984375</v>
      </c>
      <c r="J5" s="33">
        <f>(ListDatas3[[#This Row],[Extension]]/ListDatas3[[#This Row],[Poids (kg)]])*100</f>
        <v>29.290617848970253</v>
      </c>
      <c r="K5" s="11"/>
      <c r="L5" s="11">
        <v>50</v>
      </c>
      <c r="M5" s="11">
        <v>60</v>
      </c>
      <c r="N5" s="11">
        <v>125</v>
      </c>
      <c r="O5" s="11">
        <v>140</v>
      </c>
      <c r="P5" s="11">
        <v>0</v>
      </c>
      <c r="Q5" s="11">
        <v>2.11</v>
      </c>
      <c r="R5" s="11">
        <v>3.7</v>
      </c>
      <c r="S5" s="11">
        <v>4.5999999999999996</v>
      </c>
      <c r="T5" s="11">
        <v>8.7100000000000009</v>
      </c>
      <c r="U5" s="12"/>
      <c r="V5" s="12"/>
      <c r="W5" s="12"/>
      <c r="X5" s="12"/>
      <c r="Y5" s="12"/>
      <c r="Z5" s="12"/>
      <c r="AA5" s="12"/>
      <c r="AB5" s="12"/>
      <c r="AC5" s="11"/>
      <c r="AE5" s="3"/>
      <c r="AW5" s="3"/>
      <c r="AY5" s="3"/>
    </row>
    <row r="6" spans="1:51" x14ac:dyDescent="0.25">
      <c r="A6" s="11" t="s">
        <v>28</v>
      </c>
      <c r="B6" s="11" t="s">
        <v>29</v>
      </c>
      <c r="C6" s="11" t="s">
        <v>300</v>
      </c>
      <c r="D6" s="11"/>
      <c r="E6" s="11">
        <v>64.099999999999994</v>
      </c>
      <c r="F6" s="18">
        <v>1400</v>
      </c>
      <c r="G6" s="18">
        <v>9.8000000000000007</v>
      </c>
      <c r="H6" s="18">
        <v>25.7</v>
      </c>
      <c r="I6" s="31">
        <f>ListDatas3[[#This Row],[Flexion]]/ListDatas3[[#This Row],[Extension]]</f>
        <v>0.38132295719844361</v>
      </c>
      <c r="J6" s="33">
        <f>(ListDatas3[[#This Row],[Extension]]/ListDatas3[[#This Row],[Poids (kg)]])*100</f>
        <v>40.093603744149767</v>
      </c>
      <c r="K6" s="11"/>
      <c r="L6" s="11">
        <v>58</v>
      </c>
      <c r="M6" s="11">
        <v>55</v>
      </c>
      <c r="N6" s="11">
        <v>130</v>
      </c>
      <c r="O6" s="11">
        <v>165</v>
      </c>
      <c r="P6" s="11">
        <v>0</v>
      </c>
      <c r="Q6" s="11">
        <v>1.84</v>
      </c>
      <c r="R6" s="11">
        <v>3.22</v>
      </c>
      <c r="S6" s="11">
        <v>3.98</v>
      </c>
      <c r="T6" s="11">
        <v>7.21</v>
      </c>
      <c r="U6" s="12"/>
      <c r="V6" s="12"/>
      <c r="W6" s="12"/>
      <c r="X6" s="12"/>
      <c r="Y6" s="12"/>
      <c r="Z6" s="12"/>
      <c r="AA6" s="12"/>
      <c r="AB6" s="12"/>
      <c r="AC6" s="11">
        <v>210</v>
      </c>
      <c r="AE6" s="3"/>
      <c r="AW6" s="3"/>
      <c r="AY6" s="3"/>
    </row>
    <row r="7" spans="1:51" x14ac:dyDescent="0.25">
      <c r="A7" s="11" t="s">
        <v>34</v>
      </c>
      <c r="B7" s="11" t="s">
        <v>29</v>
      </c>
      <c r="C7" s="11" t="s">
        <v>300</v>
      </c>
      <c r="D7" s="11"/>
      <c r="E7" s="11">
        <v>65</v>
      </c>
      <c r="F7" s="19"/>
      <c r="G7" s="19"/>
      <c r="H7" s="19"/>
      <c r="I7" s="32"/>
      <c r="J7" s="34">
        <f>(ListDatas3[[#This Row],[Extension]]/ListDatas3[[#This Row],[Poids (kg)]])*100</f>
        <v>0</v>
      </c>
      <c r="K7" s="11"/>
      <c r="L7" s="11">
        <v>50</v>
      </c>
      <c r="M7" s="11">
        <v>60</v>
      </c>
      <c r="N7" s="11">
        <v>110</v>
      </c>
      <c r="O7" s="11">
        <v>150</v>
      </c>
      <c r="P7" s="11">
        <v>0</v>
      </c>
      <c r="Q7" s="11">
        <v>1.96</v>
      </c>
      <c r="R7" s="11">
        <v>3.46</v>
      </c>
      <c r="S7" s="11">
        <v>4.24</v>
      </c>
      <c r="T7" s="11">
        <v>7.9</v>
      </c>
      <c r="U7" s="12"/>
      <c r="V7" s="12"/>
      <c r="W7" s="12"/>
      <c r="X7" s="12"/>
      <c r="Y7" s="12"/>
      <c r="Z7" s="12"/>
      <c r="AA7" s="12"/>
      <c r="AB7" s="12"/>
      <c r="AC7" s="11"/>
      <c r="AE7" s="3"/>
      <c r="AW7" s="3"/>
      <c r="AY7" s="3"/>
    </row>
    <row r="8" spans="1:51" x14ac:dyDescent="0.25">
      <c r="A8" s="11" t="s">
        <v>61</v>
      </c>
      <c r="B8" s="11" t="s">
        <v>45</v>
      </c>
      <c r="C8" s="11" t="s">
        <v>300</v>
      </c>
      <c r="D8" s="11"/>
      <c r="E8" s="11"/>
      <c r="F8" s="18">
        <v>400</v>
      </c>
      <c r="G8" s="18"/>
      <c r="H8" s="18"/>
      <c r="I8" s="31"/>
      <c r="J8" s="33"/>
      <c r="K8" s="11"/>
      <c r="L8" s="11"/>
      <c r="M8" s="11"/>
      <c r="N8" s="11"/>
      <c r="O8" s="11"/>
      <c r="P8" s="11">
        <v>0</v>
      </c>
      <c r="Q8" s="11"/>
      <c r="R8" s="11"/>
      <c r="S8" s="11"/>
      <c r="T8" s="11"/>
      <c r="U8" s="12"/>
      <c r="V8" s="12"/>
      <c r="W8" s="12"/>
      <c r="X8" s="12"/>
      <c r="Y8" s="12"/>
      <c r="Z8" s="12"/>
      <c r="AA8" s="12"/>
      <c r="AB8" s="12"/>
      <c r="AC8" s="11"/>
      <c r="AE8" s="3"/>
      <c r="AW8" s="3"/>
      <c r="AY8" s="3"/>
    </row>
    <row r="9" spans="1:51" x14ac:dyDescent="0.25">
      <c r="A9" s="11" t="s">
        <v>62</v>
      </c>
      <c r="B9" s="11" t="s">
        <v>295</v>
      </c>
      <c r="C9" s="11" t="s">
        <v>300</v>
      </c>
      <c r="D9" s="11"/>
      <c r="E9" s="11">
        <v>59.6</v>
      </c>
      <c r="F9" s="18">
        <v>1400</v>
      </c>
      <c r="G9" s="18">
        <v>14.6</v>
      </c>
      <c r="H9" s="18">
        <v>25.5</v>
      </c>
      <c r="I9" s="31">
        <f>ListDatas3[[#This Row],[Flexion]]/ListDatas3[[#This Row],[Extension]]</f>
        <v>0.5725490196078431</v>
      </c>
      <c r="J9" s="33">
        <f>(ListDatas3[[#This Row],[Extension]]/ListDatas3[[#This Row],[Poids (kg)]])*100</f>
        <v>42.785234899328856</v>
      </c>
      <c r="K9" s="11"/>
      <c r="L9" s="11">
        <v>45</v>
      </c>
      <c r="M9" s="11">
        <v>47.5</v>
      </c>
      <c r="N9" s="11">
        <v>125</v>
      </c>
      <c r="O9" s="11">
        <v>150</v>
      </c>
      <c r="P9" s="11">
        <v>0</v>
      </c>
      <c r="Q9" s="11">
        <v>1.82</v>
      </c>
      <c r="R9" s="11">
        <v>3.19</v>
      </c>
      <c r="S9" s="11">
        <v>3.91</v>
      </c>
      <c r="T9" s="11">
        <v>7.14</v>
      </c>
      <c r="U9" s="12"/>
      <c r="V9" s="12"/>
      <c r="W9" s="12"/>
      <c r="X9" s="12"/>
      <c r="Y9" s="12"/>
      <c r="Z9" s="12"/>
      <c r="AA9" s="12"/>
      <c r="AB9" s="12"/>
      <c r="AC9" s="11"/>
      <c r="AE9" s="3"/>
      <c r="AW9" s="3"/>
      <c r="AY9" s="3"/>
    </row>
    <row r="10" spans="1:51" x14ac:dyDescent="0.25">
      <c r="A10" s="11" t="s">
        <v>52</v>
      </c>
      <c r="B10" s="11" t="s">
        <v>29</v>
      </c>
      <c r="C10" s="11" t="s">
        <v>300</v>
      </c>
      <c r="D10" s="11"/>
      <c r="E10" s="11">
        <v>61</v>
      </c>
      <c r="F10" s="18">
        <v>680</v>
      </c>
      <c r="G10" s="18">
        <v>12.1</v>
      </c>
      <c r="H10" s="18">
        <v>28.4</v>
      </c>
      <c r="I10" s="31">
        <f>ListDatas3[[#This Row],[Flexion]]/ListDatas3[[#This Row],[Extension]]</f>
        <v>0.426056338028169</v>
      </c>
      <c r="J10" s="33">
        <f>(ListDatas3[[#This Row],[Extension]]/ListDatas3[[#This Row],[Poids (kg)]])*100</f>
        <v>46.557377049180324</v>
      </c>
      <c r="K10" s="11"/>
      <c r="L10" s="11">
        <v>35</v>
      </c>
      <c r="M10" s="11">
        <v>45</v>
      </c>
      <c r="N10" s="11">
        <v>110</v>
      </c>
      <c r="O10" s="11">
        <v>90</v>
      </c>
      <c r="P10" s="11">
        <v>0</v>
      </c>
      <c r="Q10" s="11">
        <v>2</v>
      </c>
      <c r="R10" s="11">
        <v>3.53</v>
      </c>
      <c r="S10" s="11">
        <v>4.1900000000000004</v>
      </c>
      <c r="T10" s="11">
        <v>7.8</v>
      </c>
      <c r="U10" s="12"/>
      <c r="V10" s="12"/>
      <c r="W10" s="12"/>
      <c r="X10" s="12"/>
      <c r="Y10" s="12"/>
      <c r="Z10" s="12"/>
      <c r="AA10" s="12"/>
      <c r="AB10" s="12"/>
      <c r="AC10" s="11">
        <v>199</v>
      </c>
      <c r="AE10" s="3"/>
      <c r="AW10" s="3"/>
      <c r="AY10" s="3"/>
    </row>
    <row r="11" spans="1:51" x14ac:dyDescent="0.25">
      <c r="A11" s="11" t="s">
        <v>23</v>
      </c>
      <c r="B11" s="11" t="s">
        <v>295</v>
      </c>
      <c r="C11" s="11" t="s">
        <v>300</v>
      </c>
      <c r="D11" s="11"/>
      <c r="E11" s="11">
        <v>68</v>
      </c>
      <c r="F11" s="18">
        <v>960</v>
      </c>
      <c r="G11" s="18">
        <v>12.7</v>
      </c>
      <c r="H11" s="18">
        <v>25.9</v>
      </c>
      <c r="I11" s="31">
        <f>ListDatas3[[#This Row],[Flexion]]/ListDatas3[[#This Row],[Extension]]</f>
        <v>0.49034749034749037</v>
      </c>
      <c r="J11" s="33">
        <f>(ListDatas3[[#This Row],[Extension]]/ListDatas3[[#This Row],[Poids (kg)]])*100</f>
        <v>38.088235294117645</v>
      </c>
      <c r="K11" s="11"/>
      <c r="L11" s="11">
        <v>42.5</v>
      </c>
      <c r="M11" s="11">
        <v>50</v>
      </c>
      <c r="N11" s="11">
        <v>90</v>
      </c>
      <c r="O11" s="11">
        <v>120</v>
      </c>
      <c r="P11" s="11">
        <v>0</v>
      </c>
      <c r="Q11" s="11">
        <v>1.79</v>
      </c>
      <c r="R11" s="11">
        <v>3.12</v>
      </c>
      <c r="S11" s="11">
        <v>3.76</v>
      </c>
      <c r="T11" s="11">
        <v>6.93</v>
      </c>
      <c r="U11" s="12"/>
      <c r="V11" s="12"/>
      <c r="W11" s="12"/>
      <c r="X11" s="12"/>
      <c r="Y11" s="12"/>
      <c r="Z11" s="12"/>
      <c r="AA11" s="12"/>
      <c r="AB11" s="12"/>
      <c r="AC11" s="11">
        <v>215</v>
      </c>
      <c r="AE11" s="3"/>
      <c r="AW11" s="3"/>
      <c r="AY11" s="3"/>
    </row>
    <row r="12" spans="1:51" x14ac:dyDescent="0.25">
      <c r="A12" s="11" t="s">
        <v>48</v>
      </c>
      <c r="B12" s="11" t="s">
        <v>49</v>
      </c>
      <c r="C12" s="11" t="s">
        <v>300</v>
      </c>
      <c r="D12" s="11"/>
      <c r="E12" s="11">
        <v>65</v>
      </c>
      <c r="F12" s="19"/>
      <c r="G12" s="18">
        <v>11.8</v>
      </c>
      <c r="H12" s="18">
        <v>21</v>
      </c>
      <c r="I12" s="31">
        <f>ListDatas3[[#This Row],[Flexion]]/ListDatas3[[#This Row],[Extension]]</f>
        <v>0.56190476190476191</v>
      </c>
      <c r="J12" s="33">
        <f>(ListDatas3[[#This Row],[Extension]]/ListDatas3[[#This Row],[Poids (kg)]])*100</f>
        <v>32.307692307692307</v>
      </c>
      <c r="K12" s="11"/>
      <c r="L12" s="11">
        <v>45</v>
      </c>
      <c r="M12" s="11">
        <v>45</v>
      </c>
      <c r="N12" s="15"/>
      <c r="O12" s="15"/>
      <c r="P12" s="15">
        <v>0</v>
      </c>
      <c r="Q12" s="15"/>
      <c r="R12" s="15"/>
      <c r="S12" s="15"/>
      <c r="T12" s="15"/>
      <c r="U12" s="12"/>
      <c r="V12" s="12"/>
      <c r="W12" s="12"/>
      <c r="X12" s="12"/>
      <c r="Y12" s="12"/>
      <c r="Z12" s="12"/>
      <c r="AA12" s="12"/>
      <c r="AB12" s="12"/>
      <c r="AC12" s="11"/>
      <c r="AE12" s="3"/>
      <c r="AW12" s="3"/>
      <c r="AY12" s="3"/>
    </row>
    <row r="13" spans="1:51" x14ac:dyDescent="0.25">
      <c r="A13" s="11" t="s">
        <v>63</v>
      </c>
      <c r="B13" s="11" t="s">
        <v>45</v>
      </c>
      <c r="C13" s="11" t="s">
        <v>300</v>
      </c>
      <c r="D13" s="11"/>
      <c r="E13" s="11">
        <v>79.5</v>
      </c>
      <c r="F13" s="18">
        <v>560</v>
      </c>
      <c r="G13" s="18"/>
      <c r="H13" s="18"/>
      <c r="I13" s="31"/>
      <c r="J13" s="33"/>
      <c r="K13" s="11"/>
      <c r="L13" s="13"/>
      <c r="M13" s="13"/>
      <c r="N13" s="13"/>
      <c r="O13" s="13"/>
      <c r="P13" s="11">
        <v>0</v>
      </c>
      <c r="Q13" s="11">
        <v>1.98</v>
      </c>
      <c r="R13" s="11">
        <v>3.54</v>
      </c>
      <c r="S13" s="11">
        <v>4.2</v>
      </c>
      <c r="T13" s="11">
        <v>8</v>
      </c>
      <c r="U13" s="12"/>
      <c r="V13" s="12"/>
      <c r="W13" s="12"/>
      <c r="X13" s="12"/>
      <c r="Y13" s="12"/>
      <c r="Z13" s="12"/>
      <c r="AA13" s="11"/>
      <c r="AB13" s="12"/>
      <c r="AC13" s="11"/>
      <c r="AE13" s="3"/>
      <c r="AW13" s="3"/>
      <c r="AY13" s="3"/>
    </row>
    <row r="14" spans="1:51" x14ac:dyDescent="0.25">
      <c r="A14" s="11" t="s">
        <v>43</v>
      </c>
      <c r="B14" s="11" t="s">
        <v>29</v>
      </c>
      <c r="C14" s="11" t="s">
        <v>300</v>
      </c>
      <c r="D14" s="11"/>
      <c r="E14" s="11">
        <v>72.599999999999994</v>
      </c>
      <c r="F14" s="18">
        <v>640</v>
      </c>
      <c r="G14" s="18">
        <v>14.6</v>
      </c>
      <c r="H14" s="18">
        <v>25.9</v>
      </c>
      <c r="I14" s="31">
        <f>ListDatas3[[#This Row],[Flexion]]/ListDatas3[[#This Row],[Extension]]</f>
        <v>0.56370656370656369</v>
      </c>
      <c r="J14" s="33">
        <f>(ListDatas3[[#This Row],[Extension]]/ListDatas3[[#This Row],[Poids (kg)]])*100</f>
        <v>35.674931129476583</v>
      </c>
      <c r="K14" s="11"/>
      <c r="L14" s="11">
        <v>50</v>
      </c>
      <c r="M14" s="11">
        <v>55</v>
      </c>
      <c r="N14" s="11">
        <v>130</v>
      </c>
      <c r="O14" s="11">
        <v>160</v>
      </c>
      <c r="P14" s="11">
        <v>0</v>
      </c>
      <c r="Q14" s="11">
        <v>1.9</v>
      </c>
      <c r="R14" s="11">
        <v>3.36</v>
      </c>
      <c r="S14" s="11">
        <v>4.1500000000000004</v>
      </c>
      <c r="T14" s="11">
        <v>7.71</v>
      </c>
      <c r="U14" s="12"/>
      <c r="V14" s="12"/>
      <c r="W14" s="12"/>
      <c r="X14" s="12"/>
      <c r="Y14" s="12"/>
      <c r="Z14" s="12"/>
      <c r="AA14" s="12"/>
      <c r="AB14" s="12"/>
      <c r="AC14" s="11"/>
      <c r="AE14" s="3"/>
      <c r="AW14" s="3"/>
      <c r="AY14" s="3"/>
    </row>
    <row r="15" spans="1:51" x14ac:dyDescent="0.25">
      <c r="A15" s="11" t="s">
        <v>58</v>
      </c>
      <c r="B15" s="11" t="s">
        <v>45</v>
      </c>
      <c r="C15" s="11" t="s">
        <v>300</v>
      </c>
      <c r="D15" s="11"/>
      <c r="E15" s="11">
        <v>70</v>
      </c>
      <c r="F15" s="18">
        <v>440</v>
      </c>
      <c r="G15" s="18">
        <v>13.9</v>
      </c>
      <c r="H15" s="18">
        <v>21.1</v>
      </c>
      <c r="I15" s="31">
        <f>ListDatas3[[#This Row],[Flexion]]/ListDatas3[[#This Row],[Extension]]</f>
        <v>0.65876777251184826</v>
      </c>
      <c r="J15" s="33">
        <f>(ListDatas3[[#This Row],[Extension]]/ListDatas3[[#This Row],[Poids (kg)]])*100</f>
        <v>30.142857142857142</v>
      </c>
      <c r="K15" s="11"/>
      <c r="L15" s="11">
        <v>45</v>
      </c>
      <c r="M15" s="11">
        <v>52.5</v>
      </c>
      <c r="N15" s="11">
        <v>112.5</v>
      </c>
      <c r="O15" s="11">
        <v>110</v>
      </c>
      <c r="P15" s="11">
        <v>0</v>
      </c>
      <c r="Q15" s="11">
        <v>2.08</v>
      </c>
      <c r="R15" s="11">
        <v>3.73</v>
      </c>
      <c r="S15" s="11">
        <v>4.5</v>
      </c>
      <c r="T15" s="11">
        <v>8.49</v>
      </c>
      <c r="U15" s="12"/>
      <c r="V15" s="12"/>
      <c r="W15" s="12"/>
      <c r="X15" s="12"/>
      <c r="Y15" s="12"/>
      <c r="Z15" s="12"/>
      <c r="AA15" s="12"/>
      <c r="AB15" s="12"/>
      <c r="AC15" s="11">
        <v>179</v>
      </c>
      <c r="AE15" s="3"/>
      <c r="AW15" s="3"/>
      <c r="AY15" s="3"/>
    </row>
    <row r="16" spans="1:51" x14ac:dyDescent="0.25">
      <c r="A16" s="11" t="s">
        <v>60</v>
      </c>
      <c r="B16" s="11" t="s">
        <v>49</v>
      </c>
      <c r="C16" s="11" t="s">
        <v>300</v>
      </c>
      <c r="D16" s="11"/>
      <c r="E16" s="11">
        <v>64</v>
      </c>
      <c r="F16" s="19"/>
      <c r="G16" s="18">
        <v>11.3</v>
      </c>
      <c r="H16" s="18">
        <v>21.1</v>
      </c>
      <c r="I16" s="31">
        <f>ListDatas3[[#This Row],[Flexion]]/ListDatas3[[#This Row],[Extension]]</f>
        <v>0.53554502369668244</v>
      </c>
      <c r="J16" s="33">
        <f>(ListDatas3[[#This Row],[Extension]]/ListDatas3[[#This Row],[Poids (kg)]])*100</f>
        <v>32.96875</v>
      </c>
      <c r="K16" s="11"/>
      <c r="L16" s="15"/>
      <c r="M16" s="15"/>
      <c r="N16" s="15"/>
      <c r="O16" s="15"/>
      <c r="P16" s="15">
        <v>0</v>
      </c>
      <c r="Q16" s="15"/>
      <c r="R16" s="15"/>
      <c r="S16" s="15"/>
      <c r="T16" s="15"/>
      <c r="U16" s="12"/>
      <c r="V16" s="12"/>
      <c r="W16" s="12"/>
      <c r="X16" s="12"/>
      <c r="Y16" s="12"/>
      <c r="Z16" s="12"/>
      <c r="AA16" s="12"/>
      <c r="AB16" s="12"/>
      <c r="AC16" s="11">
        <v>172</v>
      </c>
      <c r="AE16" s="3"/>
      <c r="AW16" s="3"/>
      <c r="AY16" s="3"/>
    </row>
    <row r="17" spans="1:53" x14ac:dyDescent="0.25">
      <c r="A17" s="11" t="s">
        <v>50</v>
      </c>
      <c r="B17" s="11" t="s">
        <v>36</v>
      </c>
      <c r="C17" s="11" t="s">
        <v>300</v>
      </c>
      <c r="D17" s="11"/>
      <c r="E17" s="11">
        <v>54.1</v>
      </c>
      <c r="F17" s="18">
        <v>1040</v>
      </c>
      <c r="G17" s="18">
        <v>14.7</v>
      </c>
      <c r="H17" s="18">
        <v>22.8</v>
      </c>
      <c r="I17" s="31">
        <f>ListDatas3[[#This Row],[Flexion]]/ListDatas3[[#This Row],[Extension]]</f>
        <v>0.64473684210526305</v>
      </c>
      <c r="J17" s="33">
        <f>(ListDatas3[[#This Row],[Extension]]/ListDatas3[[#This Row],[Poids (kg)]])*100</f>
        <v>42.144177449168211</v>
      </c>
      <c r="K17" s="11"/>
      <c r="L17" s="11">
        <v>40</v>
      </c>
      <c r="M17" s="11">
        <v>45</v>
      </c>
      <c r="N17" s="11">
        <v>90</v>
      </c>
      <c r="O17" s="11">
        <v>130</v>
      </c>
      <c r="P17" s="11">
        <v>0</v>
      </c>
      <c r="Q17" s="11">
        <v>1.9</v>
      </c>
      <c r="R17" s="11">
        <v>3.38</v>
      </c>
      <c r="S17" s="11">
        <v>4.1900000000000004</v>
      </c>
      <c r="T17" s="11">
        <v>7.86</v>
      </c>
      <c r="U17" s="12"/>
      <c r="V17" s="12"/>
      <c r="W17" s="12"/>
      <c r="X17" s="12"/>
      <c r="Y17" s="12"/>
      <c r="Z17" s="12"/>
      <c r="AA17" s="12"/>
      <c r="AB17" s="12"/>
      <c r="AC17" s="11"/>
      <c r="AE17" s="3"/>
      <c r="AW17" s="3"/>
      <c r="AY17" s="3"/>
    </row>
    <row r="18" spans="1:53" x14ac:dyDescent="0.25">
      <c r="A18" s="11" t="s">
        <v>57</v>
      </c>
      <c r="B18" s="11" t="s">
        <v>29</v>
      </c>
      <c r="C18" s="11" t="s">
        <v>300</v>
      </c>
      <c r="D18" s="11"/>
      <c r="E18" s="11">
        <v>55</v>
      </c>
      <c r="F18" s="18">
        <v>1000</v>
      </c>
      <c r="G18" s="18">
        <v>10.199999999999999</v>
      </c>
      <c r="H18" s="18">
        <v>18.899999999999999</v>
      </c>
      <c r="I18" s="31">
        <f>ListDatas3[[#This Row],[Flexion]]/ListDatas3[[#This Row],[Extension]]</f>
        <v>0.53968253968253965</v>
      </c>
      <c r="J18" s="33">
        <f>(ListDatas3[[#This Row],[Extension]]/ListDatas3[[#This Row],[Poids (kg)]])*100</f>
        <v>34.36363636363636</v>
      </c>
      <c r="K18" s="11"/>
      <c r="L18" s="11">
        <v>35</v>
      </c>
      <c r="M18" s="11">
        <v>55</v>
      </c>
      <c r="N18" s="11">
        <v>100</v>
      </c>
      <c r="O18" s="11">
        <v>110</v>
      </c>
      <c r="P18" s="11">
        <v>0</v>
      </c>
      <c r="Q18" s="11">
        <v>2.0099999999999998</v>
      </c>
      <c r="R18" s="11">
        <v>3.58</v>
      </c>
      <c r="S18" s="11">
        <v>4.3</v>
      </c>
      <c r="T18" s="11">
        <v>8.17</v>
      </c>
      <c r="U18" s="12"/>
      <c r="V18" s="12"/>
      <c r="W18" s="12"/>
      <c r="X18" s="12"/>
      <c r="Y18" s="12"/>
      <c r="Z18" s="12"/>
      <c r="AA18" s="12"/>
      <c r="AB18" s="12"/>
      <c r="AC18" s="11">
        <v>190</v>
      </c>
      <c r="AE18" s="3"/>
      <c r="AW18" s="3"/>
      <c r="AY18" s="3"/>
    </row>
    <row r="19" spans="1:53" x14ac:dyDescent="0.25">
      <c r="A19" s="11" t="s">
        <v>26</v>
      </c>
      <c r="B19" s="11" t="s">
        <v>296</v>
      </c>
      <c r="C19" s="11" t="s">
        <v>300</v>
      </c>
      <c r="D19" s="11"/>
      <c r="E19" s="11">
        <v>59.6</v>
      </c>
      <c r="F19" s="18">
        <v>960</v>
      </c>
      <c r="G19" s="18"/>
      <c r="H19" s="18"/>
      <c r="I19" s="31"/>
      <c r="J19" s="33"/>
      <c r="K19" s="11"/>
      <c r="L19" s="11">
        <v>35</v>
      </c>
      <c r="M19" s="11">
        <v>42.5</v>
      </c>
      <c r="N19" s="11">
        <v>100</v>
      </c>
      <c r="O19" s="11"/>
      <c r="P19" s="11">
        <v>0</v>
      </c>
      <c r="Q19" s="11">
        <v>1.77</v>
      </c>
      <c r="R19" s="11">
        <v>3.14</v>
      </c>
      <c r="S19" s="11">
        <v>3.82</v>
      </c>
      <c r="T19" s="11">
        <v>7.08</v>
      </c>
      <c r="U19" s="12"/>
      <c r="V19" s="12"/>
      <c r="W19" s="12"/>
      <c r="X19" s="12"/>
      <c r="Y19" s="12"/>
      <c r="Z19" s="12"/>
      <c r="AA19" s="12"/>
      <c r="AB19" s="12"/>
      <c r="AC19" s="11"/>
      <c r="AE19" s="3"/>
      <c r="AW19" s="3"/>
      <c r="AY19" s="3"/>
    </row>
    <row r="20" spans="1:53" x14ac:dyDescent="0.25">
      <c r="A20" s="11" t="s">
        <v>55</v>
      </c>
      <c r="B20" s="11" t="s">
        <v>45</v>
      </c>
      <c r="C20" s="11" t="s">
        <v>300</v>
      </c>
      <c r="D20" s="11"/>
      <c r="E20" s="11">
        <v>83.9</v>
      </c>
      <c r="F20" s="18">
        <v>560</v>
      </c>
      <c r="G20" s="18">
        <v>15</v>
      </c>
      <c r="H20" s="18">
        <v>24.1</v>
      </c>
      <c r="I20" s="31">
        <f>ListDatas3[[#This Row],[Flexion]]/ListDatas3[[#This Row],[Extension]]</f>
        <v>0.62240663900414939</v>
      </c>
      <c r="J20" s="33">
        <f>(ListDatas3[[#This Row],[Extension]]/ListDatas3[[#This Row],[Poids (kg)]])*100</f>
        <v>28.724672228843861</v>
      </c>
      <c r="K20" s="11"/>
      <c r="L20" s="11">
        <v>60</v>
      </c>
      <c r="M20" s="11">
        <v>55</v>
      </c>
      <c r="N20" s="15"/>
      <c r="O20" s="15"/>
      <c r="P20" s="15">
        <v>0</v>
      </c>
      <c r="Q20" s="15"/>
      <c r="R20" s="15"/>
      <c r="S20" s="15"/>
      <c r="T20" s="15"/>
      <c r="U20" s="12"/>
      <c r="V20" s="12"/>
      <c r="W20" s="12"/>
      <c r="X20" s="12"/>
      <c r="Y20" s="12"/>
      <c r="Z20" s="12"/>
      <c r="AA20" s="12"/>
      <c r="AB20" s="12"/>
      <c r="AC20" s="11">
        <v>187</v>
      </c>
      <c r="AE20" s="3"/>
      <c r="AW20" s="3"/>
      <c r="AY20" s="3"/>
    </row>
    <row r="21" spans="1:53" x14ac:dyDescent="0.25">
      <c r="A21" s="11" t="s">
        <v>41</v>
      </c>
      <c r="B21" s="11" t="s">
        <v>29</v>
      </c>
      <c r="C21" s="11" t="s">
        <v>300</v>
      </c>
      <c r="D21" s="11"/>
      <c r="E21" s="11">
        <v>62.6</v>
      </c>
      <c r="F21" s="18">
        <v>1200</v>
      </c>
      <c r="G21" s="18">
        <v>19.100000000000001</v>
      </c>
      <c r="H21" s="18">
        <v>26</v>
      </c>
      <c r="I21" s="31">
        <f>ListDatas3[[#This Row],[Flexion]]/ListDatas3[[#This Row],[Extension]]</f>
        <v>0.73461538461538467</v>
      </c>
      <c r="J21" s="33">
        <f>(ListDatas3[[#This Row],[Extension]]/ListDatas3[[#This Row],[Poids (kg)]])*100</f>
        <v>41.533546325878596</v>
      </c>
      <c r="K21" s="11"/>
      <c r="L21" s="11">
        <v>50</v>
      </c>
      <c r="M21" s="11">
        <v>60</v>
      </c>
      <c r="N21" s="11">
        <v>110</v>
      </c>
      <c r="O21" s="11">
        <v>150</v>
      </c>
      <c r="P21" s="11">
        <v>0</v>
      </c>
      <c r="Q21" s="11">
        <v>1.89</v>
      </c>
      <c r="R21" s="11">
        <v>3.31</v>
      </c>
      <c r="S21" s="11">
        <v>3.96</v>
      </c>
      <c r="T21" s="11">
        <v>7.28</v>
      </c>
      <c r="U21" s="12"/>
      <c r="V21" s="12"/>
      <c r="W21" s="12"/>
      <c r="X21" s="12"/>
      <c r="Y21" s="12"/>
      <c r="Z21" s="12"/>
      <c r="AA21" s="12"/>
      <c r="AB21" s="12"/>
      <c r="AC21" s="11">
        <v>202</v>
      </c>
      <c r="AE21" s="3"/>
      <c r="AW21" s="3"/>
      <c r="AY21" s="3"/>
    </row>
    <row r="22" spans="1:53" x14ac:dyDescent="0.25">
      <c r="A22" s="11" t="s">
        <v>47</v>
      </c>
      <c r="B22" s="11" t="s">
        <v>45</v>
      </c>
      <c r="C22" s="11" t="s">
        <v>300</v>
      </c>
      <c r="D22" s="11"/>
      <c r="E22" s="11">
        <v>67</v>
      </c>
      <c r="F22" s="18">
        <v>760</v>
      </c>
      <c r="G22" s="18">
        <v>14.2</v>
      </c>
      <c r="H22" s="18">
        <v>31.7</v>
      </c>
      <c r="I22" s="31">
        <f>ListDatas3[[#This Row],[Flexion]]/ListDatas3[[#This Row],[Extension]]</f>
        <v>0.44794952681388012</v>
      </c>
      <c r="J22" s="33">
        <f>(ListDatas3[[#This Row],[Extension]]/ListDatas3[[#This Row],[Poids (kg)]])*100</f>
        <v>47.313432835820898</v>
      </c>
      <c r="K22" s="11"/>
      <c r="L22" s="11">
        <v>50</v>
      </c>
      <c r="M22" s="11">
        <v>42.5</v>
      </c>
      <c r="N22" s="11">
        <v>100</v>
      </c>
      <c r="O22" s="11">
        <v>160</v>
      </c>
      <c r="P22" s="11">
        <v>0</v>
      </c>
      <c r="Q22" s="11">
        <v>1.94</v>
      </c>
      <c r="R22" s="11">
        <v>3.42</v>
      </c>
      <c r="S22" s="11">
        <v>4.2699999999999996</v>
      </c>
      <c r="T22" s="11">
        <v>8.01</v>
      </c>
      <c r="U22" s="12"/>
      <c r="V22" s="12"/>
      <c r="W22" s="12"/>
      <c r="X22" s="12"/>
      <c r="Y22" s="12"/>
      <c r="Z22" s="12"/>
      <c r="AA22" s="12"/>
      <c r="AB22" s="12"/>
      <c r="AC22" s="11">
        <v>202</v>
      </c>
      <c r="AE22" s="3"/>
      <c r="AW22" s="3"/>
      <c r="AY22" s="3"/>
    </row>
    <row r="23" spans="1:53" ht="18.75" x14ac:dyDescent="0.3">
      <c r="A23" s="11" t="s">
        <v>46</v>
      </c>
      <c r="B23" s="11" t="s">
        <v>45</v>
      </c>
      <c r="C23" s="11" t="s">
        <v>300</v>
      </c>
      <c r="D23" s="11"/>
      <c r="E23" s="11">
        <v>84</v>
      </c>
      <c r="F23" s="18">
        <v>440</v>
      </c>
      <c r="G23" s="18">
        <v>17.600000000000001</v>
      </c>
      <c r="H23" s="18">
        <v>34.799999999999997</v>
      </c>
      <c r="I23" s="31">
        <f>ListDatas3[[#This Row],[Flexion]]/ListDatas3[[#This Row],[Extension]]</f>
        <v>0.50574712643678166</v>
      </c>
      <c r="J23" s="33">
        <f>(ListDatas3[[#This Row],[Extension]]/ListDatas3[[#This Row],[Poids (kg)]])*100</f>
        <v>41.428571428571423</v>
      </c>
      <c r="K23" s="11"/>
      <c r="L23" s="15"/>
      <c r="M23" s="15"/>
      <c r="N23" s="30">
        <v>125</v>
      </c>
      <c r="O23" s="30">
        <v>145</v>
      </c>
      <c r="P23" s="15">
        <v>0</v>
      </c>
      <c r="Q23" s="15"/>
      <c r="R23" s="15"/>
      <c r="S23" s="15"/>
      <c r="T23" s="15"/>
      <c r="U23" s="12"/>
      <c r="V23" s="12"/>
      <c r="W23" s="12"/>
      <c r="X23" s="12"/>
      <c r="Y23" s="12"/>
      <c r="Z23" s="12"/>
      <c r="AA23" s="12"/>
      <c r="AB23" s="12"/>
      <c r="AC23" s="11"/>
      <c r="AE23" s="3"/>
      <c r="AG23" s="9"/>
      <c r="AW23" s="3"/>
      <c r="AY23" s="3"/>
    </row>
    <row r="24" spans="1:53" x14ac:dyDescent="0.25">
      <c r="A24" s="11" t="s">
        <v>27</v>
      </c>
      <c r="B24" s="11" t="s">
        <v>295</v>
      </c>
      <c r="C24" s="11" t="s">
        <v>300</v>
      </c>
      <c r="D24" s="11"/>
      <c r="E24" s="11">
        <v>55.6</v>
      </c>
      <c r="F24" s="19"/>
      <c r="G24" s="18">
        <v>16</v>
      </c>
      <c r="H24" s="18">
        <v>26.9</v>
      </c>
      <c r="I24" s="31">
        <f>ListDatas3[[#This Row],[Flexion]]/ListDatas3[[#This Row],[Extension]]</f>
        <v>0.59479553903345728</v>
      </c>
      <c r="J24" s="33">
        <f>(ListDatas3[[#This Row],[Extension]]/ListDatas3[[#This Row],[Poids (kg)]])*100</f>
        <v>48.381294964028775</v>
      </c>
      <c r="K24" s="11"/>
      <c r="L24" s="11">
        <v>50</v>
      </c>
      <c r="M24" s="11">
        <v>55</v>
      </c>
      <c r="N24" s="11">
        <v>122.5</v>
      </c>
      <c r="O24" s="11">
        <v>140</v>
      </c>
      <c r="P24" s="11">
        <v>0</v>
      </c>
      <c r="Q24" s="11">
        <v>1.8</v>
      </c>
      <c r="R24" s="11">
        <v>3.18</v>
      </c>
      <c r="S24" s="11">
        <v>3.8</v>
      </c>
      <c r="T24" s="11">
        <v>7.09</v>
      </c>
      <c r="U24" s="12"/>
      <c r="V24" s="12"/>
      <c r="W24" s="12"/>
      <c r="X24" s="12"/>
      <c r="Y24" s="12"/>
      <c r="Z24" s="12"/>
      <c r="AA24" s="12"/>
      <c r="AB24" s="12"/>
      <c r="AC24" s="11"/>
      <c r="AE24" s="3"/>
      <c r="AW24" s="3"/>
      <c r="AY24" s="3"/>
    </row>
    <row r="25" spans="1:53" x14ac:dyDescent="0.25">
      <c r="A25" s="11" t="s">
        <v>38</v>
      </c>
      <c r="B25" s="11" t="s">
        <v>296</v>
      </c>
      <c r="C25" s="11" t="s">
        <v>300</v>
      </c>
      <c r="D25" s="11"/>
      <c r="E25" s="11">
        <v>70.3</v>
      </c>
      <c r="F25" s="18">
        <v>760</v>
      </c>
      <c r="G25" s="18">
        <v>13.1</v>
      </c>
      <c r="H25" s="18">
        <v>24.9</v>
      </c>
      <c r="I25" s="31">
        <f>ListDatas3[[#This Row],[Flexion]]/ListDatas3[[#This Row],[Extension]]</f>
        <v>0.52610441767068272</v>
      </c>
      <c r="J25" s="33">
        <f>(ListDatas3[[#This Row],[Extension]]/ListDatas3[[#This Row],[Poids (kg)]])*100</f>
        <v>35.419630156472259</v>
      </c>
      <c r="K25" s="11"/>
      <c r="L25" s="11">
        <v>60</v>
      </c>
      <c r="M25" s="11">
        <v>55</v>
      </c>
      <c r="N25" s="11"/>
      <c r="O25" s="11">
        <v>120</v>
      </c>
      <c r="P25" s="11">
        <v>0</v>
      </c>
      <c r="Q25" s="11">
        <v>1.91</v>
      </c>
      <c r="R25" s="11">
        <v>3.37</v>
      </c>
      <c r="S25" s="11">
        <v>4.0999999999999996</v>
      </c>
      <c r="T25" s="11">
        <v>7.48</v>
      </c>
      <c r="U25" s="12"/>
      <c r="V25" s="12"/>
      <c r="W25" s="12"/>
      <c r="X25" s="12"/>
      <c r="Y25" s="12"/>
      <c r="Z25" s="12"/>
      <c r="AA25" s="12"/>
      <c r="AB25" s="12"/>
      <c r="AC25" s="11"/>
      <c r="AE25" s="3"/>
      <c r="AW25" s="3"/>
      <c r="AY25" s="3"/>
    </row>
    <row r="26" spans="1:53" x14ac:dyDescent="0.25">
      <c r="A26" s="11" t="s">
        <v>53</v>
      </c>
      <c r="B26" s="11" t="s">
        <v>49</v>
      </c>
      <c r="C26" s="11" t="s">
        <v>300</v>
      </c>
      <c r="D26" s="11"/>
      <c r="E26" s="11">
        <v>74.5</v>
      </c>
      <c r="F26" s="18">
        <v>440</v>
      </c>
      <c r="G26" s="18">
        <v>15.7</v>
      </c>
      <c r="H26" s="18">
        <v>32.9</v>
      </c>
      <c r="I26" s="31">
        <f>ListDatas3[[#This Row],[Flexion]]/ListDatas3[[#This Row],[Extension]]</f>
        <v>0.47720364741641336</v>
      </c>
      <c r="J26" s="33">
        <f>(ListDatas3[[#This Row],[Extension]]/ListDatas3[[#This Row],[Poids (kg)]])*100</f>
        <v>44.161073825503358</v>
      </c>
      <c r="K26" s="11"/>
      <c r="L26" s="11">
        <v>45</v>
      </c>
      <c r="M26" s="11">
        <v>55</v>
      </c>
      <c r="N26" s="11">
        <v>110</v>
      </c>
      <c r="O26" s="11">
        <v>110</v>
      </c>
      <c r="P26" s="11">
        <v>0</v>
      </c>
      <c r="Q26" s="11">
        <v>1.96</v>
      </c>
      <c r="R26" s="11">
        <v>3.5</v>
      </c>
      <c r="S26" s="11">
        <v>4.34</v>
      </c>
      <c r="T26" s="11">
        <v>8.1</v>
      </c>
      <c r="U26" s="12"/>
      <c r="V26" s="12"/>
      <c r="W26" s="12"/>
      <c r="X26" s="12"/>
      <c r="Y26" s="12"/>
      <c r="Z26" s="12"/>
      <c r="AA26" s="12"/>
      <c r="AB26" s="12"/>
      <c r="AC26" s="11">
        <v>200</v>
      </c>
      <c r="AW26" s="3"/>
      <c r="AY26" s="3"/>
    </row>
    <row r="27" spans="1:53" x14ac:dyDescent="0.25">
      <c r="A27" s="11" t="s">
        <v>25</v>
      </c>
      <c r="B27" s="11" t="s">
        <v>295</v>
      </c>
      <c r="C27" s="11" t="s">
        <v>300</v>
      </c>
      <c r="D27" s="11"/>
      <c r="E27" s="11"/>
      <c r="F27" s="18">
        <v>880</v>
      </c>
      <c r="G27" s="18">
        <v>20.399999999999999</v>
      </c>
      <c r="H27" s="18">
        <v>25.9</v>
      </c>
      <c r="I27" s="31">
        <f>ListDatas3[[#This Row],[Flexion]]/ListDatas3[[#This Row],[Extension]]</f>
        <v>0.78764478764478763</v>
      </c>
      <c r="J27" s="33" t="e">
        <f>(ListDatas3[[#This Row],[Extension]]/ListDatas3[[#This Row],[Poids (kg)]])*100</f>
        <v>#DIV/0!</v>
      </c>
      <c r="K27" s="11"/>
      <c r="L27" s="15">
        <v>52.5</v>
      </c>
      <c r="M27" s="15"/>
      <c r="N27" s="15"/>
      <c r="O27" s="15"/>
      <c r="P27" s="15">
        <v>0</v>
      </c>
      <c r="Q27" s="15"/>
      <c r="R27" s="15"/>
      <c r="S27" s="15"/>
      <c r="T27" s="15"/>
      <c r="U27" s="12"/>
      <c r="V27" s="12"/>
      <c r="W27" s="12"/>
      <c r="X27" s="12"/>
      <c r="Y27" s="12"/>
      <c r="Z27" s="12"/>
      <c r="AA27" s="12"/>
      <c r="AB27" s="12"/>
      <c r="AC27" s="11"/>
      <c r="AY27" s="4"/>
      <c r="BA27" s="3"/>
    </row>
    <row r="28" spans="1:53" x14ac:dyDescent="0.25">
      <c r="A28" s="11" t="s">
        <v>51</v>
      </c>
      <c r="B28" s="11" t="s">
        <v>29</v>
      </c>
      <c r="C28" s="11" t="s">
        <v>300</v>
      </c>
      <c r="D28" s="11"/>
      <c r="E28" s="11">
        <v>63.3</v>
      </c>
      <c r="F28" s="18">
        <v>1040</v>
      </c>
      <c r="G28" s="18">
        <v>13.1</v>
      </c>
      <c r="H28" s="18">
        <v>26.2</v>
      </c>
      <c r="I28" s="31">
        <f>ListDatas3[[#This Row],[Flexion]]/ListDatas3[[#This Row],[Extension]]</f>
        <v>0.5</v>
      </c>
      <c r="J28" s="33">
        <f>(ListDatas3[[#This Row],[Extension]]/ListDatas3[[#This Row],[Poids (kg)]])*100</f>
        <v>41.390205371248022</v>
      </c>
      <c r="K28" s="11"/>
      <c r="L28" s="11">
        <v>50</v>
      </c>
      <c r="M28" s="11">
        <v>50</v>
      </c>
      <c r="N28" s="11">
        <v>105</v>
      </c>
      <c r="O28" s="11">
        <v>145</v>
      </c>
      <c r="P28" s="11">
        <v>0</v>
      </c>
      <c r="Q28" s="11">
        <v>1.96</v>
      </c>
      <c r="R28" s="11">
        <v>3.47</v>
      </c>
      <c r="S28" s="11">
        <v>4.3</v>
      </c>
      <c r="T28" s="11">
        <v>8.07</v>
      </c>
      <c r="U28" s="12"/>
      <c r="V28" s="12"/>
      <c r="W28" s="12"/>
      <c r="X28" s="12"/>
      <c r="Y28" s="12"/>
      <c r="Z28" s="12"/>
      <c r="AA28" s="12"/>
      <c r="AB28" s="12"/>
      <c r="AC28" s="11"/>
    </row>
    <row r="29" spans="1:53" x14ac:dyDescent="0.25">
      <c r="A29" s="11" t="s">
        <v>32</v>
      </c>
      <c r="B29" s="11" t="s">
        <v>296</v>
      </c>
      <c r="C29" s="11" t="s">
        <v>300</v>
      </c>
      <c r="D29" s="11"/>
      <c r="E29" s="11">
        <v>70</v>
      </c>
      <c r="F29" s="18">
        <v>560</v>
      </c>
      <c r="G29" s="18"/>
      <c r="H29" s="18"/>
      <c r="I29" s="31"/>
      <c r="J29" s="33"/>
      <c r="K29" s="11"/>
      <c r="L29" s="13"/>
      <c r="M29" s="13"/>
      <c r="N29" s="13"/>
      <c r="O29" s="13"/>
      <c r="P29" s="11">
        <v>0</v>
      </c>
      <c r="Q29" s="11">
        <v>1.78</v>
      </c>
      <c r="R29" s="11">
        <v>3.17</v>
      </c>
      <c r="S29" s="11">
        <v>4</v>
      </c>
      <c r="T29" s="11">
        <v>7.4</v>
      </c>
      <c r="U29" s="12"/>
      <c r="V29" s="12"/>
      <c r="W29" s="12"/>
      <c r="X29" s="12"/>
      <c r="Y29" s="12"/>
      <c r="Z29" s="12"/>
      <c r="AA29" s="12"/>
      <c r="AB29" s="12"/>
      <c r="AC29" s="11"/>
      <c r="AD29" s="1"/>
      <c r="AE29" s="8"/>
      <c r="AF29" s="1"/>
      <c r="AG29" s="1"/>
    </row>
    <row r="30" spans="1:53" x14ac:dyDescent="0.25">
      <c r="A30" s="11" t="s">
        <v>64</v>
      </c>
      <c r="B30" s="11" t="s">
        <v>31</v>
      </c>
      <c r="C30" s="11" t="s">
        <v>300</v>
      </c>
      <c r="D30" s="11"/>
      <c r="E30" s="11">
        <v>78.900000000000006</v>
      </c>
      <c r="F30" s="18">
        <v>360</v>
      </c>
      <c r="G30" s="18"/>
      <c r="H30" s="18"/>
      <c r="I30" s="31"/>
      <c r="J30" s="33"/>
      <c r="K30" s="11"/>
      <c r="L30" s="11"/>
      <c r="M30" s="11"/>
      <c r="N30" s="11"/>
      <c r="O30" s="11">
        <v>130</v>
      </c>
      <c r="P30" s="11">
        <v>0</v>
      </c>
      <c r="Q30" s="11"/>
      <c r="R30" s="11"/>
      <c r="S30" s="11"/>
      <c r="T30" s="11"/>
      <c r="U30" s="12"/>
      <c r="V30" s="12"/>
      <c r="W30" s="12"/>
      <c r="X30" s="12"/>
      <c r="Y30" s="12"/>
      <c r="Z30" s="12"/>
      <c r="AA30" s="11"/>
      <c r="AB30" s="12"/>
      <c r="AC30" s="11"/>
    </row>
    <row r="31" spans="1:53" x14ac:dyDescent="0.25">
      <c r="A31" s="11" t="s">
        <v>39</v>
      </c>
      <c r="B31" s="11" t="s">
        <v>29</v>
      </c>
      <c r="C31" s="11" t="s">
        <v>300</v>
      </c>
      <c r="D31" s="11"/>
      <c r="E31" s="11">
        <v>56.4</v>
      </c>
      <c r="F31" s="18">
        <v>1040</v>
      </c>
      <c r="G31" s="18">
        <v>19.899999999999999</v>
      </c>
      <c r="H31" s="18">
        <v>20.9</v>
      </c>
      <c r="I31" s="31">
        <f>ListDatas3[[#This Row],[Flexion]]/ListDatas3[[#This Row],[Extension]]</f>
        <v>0.95215311004784686</v>
      </c>
      <c r="J31" s="33">
        <f>(ListDatas3[[#This Row],[Extension]]/ListDatas3[[#This Row],[Poids (kg)]])*100</f>
        <v>37.056737588652481</v>
      </c>
      <c r="K31" s="11"/>
      <c r="L31" s="11">
        <v>42.5</v>
      </c>
      <c r="M31" s="11">
        <v>52.5</v>
      </c>
      <c r="N31" s="11">
        <v>110</v>
      </c>
      <c r="O31" s="11">
        <v>100</v>
      </c>
      <c r="P31" s="11">
        <v>0</v>
      </c>
      <c r="Q31" s="11">
        <v>1.88</v>
      </c>
      <c r="R31" s="11">
        <v>3.39</v>
      </c>
      <c r="S31" s="11">
        <v>3.95</v>
      </c>
      <c r="T31" s="11">
        <v>7.39</v>
      </c>
      <c r="U31" s="12"/>
      <c r="V31" s="12"/>
      <c r="W31" s="12"/>
      <c r="X31" s="12"/>
      <c r="Y31" s="12"/>
      <c r="Z31" s="12"/>
      <c r="AA31" s="12"/>
      <c r="AB31" s="12"/>
      <c r="AC31" s="11"/>
    </row>
    <row r="32" spans="1:53" x14ac:dyDescent="0.25">
      <c r="A32" s="11" t="s">
        <v>30</v>
      </c>
      <c r="B32" s="11" t="s">
        <v>31</v>
      </c>
      <c r="C32" s="11" t="s">
        <v>300</v>
      </c>
      <c r="D32" s="11"/>
      <c r="E32" s="11">
        <v>67.400000000000006</v>
      </c>
      <c r="F32" s="18">
        <v>760</v>
      </c>
      <c r="G32" s="18">
        <v>14.2</v>
      </c>
      <c r="H32" s="18">
        <v>19.600000000000001</v>
      </c>
      <c r="I32" s="31">
        <f>ListDatas3[[#This Row],[Flexion]]/ListDatas3[[#This Row],[Extension]]</f>
        <v>0.72448979591836726</v>
      </c>
      <c r="J32" s="33">
        <f>(ListDatas3[[#This Row],[Extension]]/ListDatas3[[#This Row],[Poids (kg)]])*100</f>
        <v>29.080118694362017</v>
      </c>
      <c r="K32" s="11"/>
      <c r="L32" s="11">
        <v>60</v>
      </c>
      <c r="M32" s="11">
        <v>63</v>
      </c>
      <c r="N32" s="11">
        <v>135</v>
      </c>
      <c r="O32" s="11">
        <v>150</v>
      </c>
      <c r="P32" s="11">
        <v>0</v>
      </c>
      <c r="Q32" s="11">
        <v>1.87</v>
      </c>
      <c r="R32" s="11">
        <v>3.27</v>
      </c>
      <c r="S32" s="11">
        <v>4.01</v>
      </c>
      <c r="T32" s="11">
        <v>7.34</v>
      </c>
      <c r="U32" s="12"/>
      <c r="V32" s="12"/>
      <c r="W32" s="12"/>
      <c r="X32" s="12"/>
      <c r="Y32" s="12"/>
      <c r="Z32" s="12"/>
      <c r="AA32" s="12"/>
      <c r="AB32" s="12"/>
      <c r="AC32" s="11"/>
    </row>
    <row r="33" spans="1:29" x14ac:dyDescent="0.25">
      <c r="A33" s="11" t="s">
        <v>33</v>
      </c>
      <c r="B33" s="11" t="s">
        <v>296</v>
      </c>
      <c r="C33" s="11" t="s">
        <v>300</v>
      </c>
      <c r="D33" s="11"/>
      <c r="E33" s="11">
        <v>64.599999999999994</v>
      </c>
      <c r="F33" s="18">
        <v>1080</v>
      </c>
      <c r="G33" s="18">
        <v>16.8</v>
      </c>
      <c r="H33" s="18">
        <v>20.399999999999999</v>
      </c>
      <c r="I33" s="31">
        <f>ListDatas3[[#This Row],[Flexion]]/ListDatas3[[#This Row],[Extension]]</f>
        <v>0.82352941176470595</v>
      </c>
      <c r="J33" s="33">
        <f>(ListDatas3[[#This Row],[Extension]]/ListDatas3[[#This Row],[Poids (kg)]])*100</f>
        <v>31.578947368421051</v>
      </c>
      <c r="K33" s="11"/>
      <c r="L33" s="11">
        <v>47.5</v>
      </c>
      <c r="M33" s="11">
        <v>62.5</v>
      </c>
      <c r="N33" s="11">
        <v>145</v>
      </c>
      <c r="O33" s="11">
        <v>140</v>
      </c>
      <c r="P33" s="11">
        <v>0</v>
      </c>
      <c r="Q33" s="11">
        <v>1.83</v>
      </c>
      <c r="R33" s="11">
        <v>3.24</v>
      </c>
      <c r="S33" s="11">
        <v>3.96</v>
      </c>
      <c r="T33" s="11">
        <v>7.38</v>
      </c>
      <c r="U33" s="12"/>
      <c r="V33" s="12"/>
      <c r="W33" s="12"/>
      <c r="X33" s="12"/>
      <c r="Y33" s="12"/>
      <c r="Z33" s="12"/>
      <c r="AA33" s="12"/>
      <c r="AB33" s="12"/>
      <c r="AC33" s="11"/>
    </row>
    <row r="34" spans="1:29" x14ac:dyDescent="0.25">
      <c r="A34" s="11" t="s">
        <v>40</v>
      </c>
      <c r="B34" s="11" t="s">
        <v>31</v>
      </c>
      <c r="C34" s="11" t="s">
        <v>300</v>
      </c>
      <c r="D34" s="11"/>
      <c r="E34" s="11">
        <v>59.4</v>
      </c>
      <c r="F34" s="18">
        <v>720</v>
      </c>
      <c r="G34" s="18">
        <v>16.5</v>
      </c>
      <c r="H34" s="18">
        <v>26.8</v>
      </c>
      <c r="I34" s="31">
        <f>ListDatas3[[#This Row],[Flexion]]/ListDatas3[[#This Row],[Extension]]</f>
        <v>0.61567164179104472</v>
      </c>
      <c r="J34" s="33">
        <f>(ListDatas3[[#This Row],[Extension]]/ListDatas3[[#This Row],[Poids (kg)]])*100</f>
        <v>45.117845117845121</v>
      </c>
      <c r="K34" s="11"/>
      <c r="L34" s="11">
        <v>42.5</v>
      </c>
      <c r="M34" s="11">
        <v>50</v>
      </c>
      <c r="N34" s="11">
        <v>110</v>
      </c>
      <c r="O34" s="11">
        <v>140</v>
      </c>
      <c r="P34" s="11">
        <v>0</v>
      </c>
      <c r="Q34" s="11">
        <v>1.83</v>
      </c>
      <c r="R34" s="11">
        <v>3.26</v>
      </c>
      <c r="S34" s="11">
        <v>3.97</v>
      </c>
      <c r="T34" s="11">
        <v>7.37</v>
      </c>
      <c r="U34" s="12"/>
      <c r="V34" s="12"/>
      <c r="W34" s="12"/>
      <c r="X34" s="12"/>
      <c r="Y34" s="12"/>
      <c r="Z34" s="12"/>
      <c r="AA34" s="12"/>
      <c r="AB34" s="12"/>
      <c r="AC34" s="11"/>
    </row>
    <row r="35" spans="1:29" x14ac:dyDescent="0.25">
      <c r="A35" s="11" t="s">
        <v>65</v>
      </c>
      <c r="B35" s="11" t="s">
        <v>29</v>
      </c>
      <c r="C35" s="11" t="s">
        <v>300</v>
      </c>
      <c r="D35" s="11"/>
      <c r="E35" s="11">
        <v>66.2</v>
      </c>
      <c r="F35" s="18">
        <v>640</v>
      </c>
      <c r="G35" s="18">
        <v>14</v>
      </c>
      <c r="H35" s="18">
        <v>20.3</v>
      </c>
      <c r="I35" s="31">
        <f>ListDatas3[[#This Row],[Flexion]]/ListDatas3[[#This Row],[Extension]]</f>
        <v>0.68965517241379304</v>
      </c>
      <c r="J35" s="33">
        <f>(ListDatas3[[#This Row],[Extension]]/ListDatas3[[#This Row],[Poids (kg)]])*100</f>
        <v>30.664652567975832</v>
      </c>
      <c r="K35" s="11"/>
      <c r="L35" s="11">
        <v>40</v>
      </c>
      <c r="M35" s="11">
        <v>50</v>
      </c>
      <c r="N35" s="11">
        <v>110</v>
      </c>
      <c r="O35" s="11">
        <v>140</v>
      </c>
      <c r="P35" s="11">
        <v>0</v>
      </c>
      <c r="Q35" s="11">
        <v>2.06</v>
      </c>
      <c r="R35" s="11">
        <v>3.75</v>
      </c>
      <c r="S35" s="11">
        <v>4.75</v>
      </c>
      <c r="T35" s="11">
        <v>8.5</v>
      </c>
      <c r="U35" s="12"/>
      <c r="V35" s="12"/>
      <c r="W35" s="12"/>
      <c r="X35" s="12"/>
      <c r="Y35" s="12"/>
      <c r="Z35" s="12"/>
      <c r="AA35" s="12"/>
      <c r="AB35" s="12"/>
      <c r="AC35" s="11"/>
    </row>
    <row r="36" spans="1:29" x14ac:dyDescent="0.25">
      <c r="A36" s="11" t="s">
        <v>54</v>
      </c>
      <c r="B36" s="11" t="s">
        <v>45</v>
      </c>
      <c r="C36" s="11" t="s">
        <v>300</v>
      </c>
      <c r="D36" s="11"/>
      <c r="E36" s="11">
        <v>63.7</v>
      </c>
      <c r="F36" s="18">
        <v>920</v>
      </c>
      <c r="G36" s="18">
        <v>19.8</v>
      </c>
      <c r="H36" s="18">
        <v>27.2</v>
      </c>
      <c r="I36" s="31">
        <f>ListDatas3[[#This Row],[Flexion]]/ListDatas3[[#This Row],[Extension]]</f>
        <v>0.72794117647058831</v>
      </c>
      <c r="J36" s="33">
        <f>(ListDatas3[[#This Row],[Extension]]/ListDatas3[[#This Row],[Poids (kg)]])*100</f>
        <v>42.700156985871267</v>
      </c>
      <c r="K36" s="11"/>
      <c r="L36" s="11">
        <v>55</v>
      </c>
      <c r="M36" s="11">
        <v>60</v>
      </c>
      <c r="N36" s="11">
        <v>125</v>
      </c>
      <c r="O36" s="11">
        <v>145</v>
      </c>
      <c r="P36" s="11">
        <v>0</v>
      </c>
      <c r="Q36" s="11">
        <v>1.89</v>
      </c>
      <c r="R36" s="11">
        <v>3.37</v>
      </c>
      <c r="S36" s="11">
        <v>4.21</v>
      </c>
      <c r="T36" s="11">
        <v>7.93</v>
      </c>
      <c r="U36" s="12"/>
      <c r="V36" s="12"/>
      <c r="W36" s="12"/>
      <c r="X36" s="12"/>
      <c r="Y36" s="12"/>
      <c r="Z36" s="12"/>
      <c r="AA36" s="12"/>
      <c r="AB36" s="12"/>
      <c r="AC36" s="11"/>
    </row>
    <row r="38" spans="1:29" x14ac:dyDescent="0.25">
      <c r="B38" s="7"/>
      <c r="C38" t="s">
        <v>297</v>
      </c>
    </row>
    <row r="39" spans="1:29" x14ac:dyDescent="0.25">
      <c r="B39" s="14"/>
      <c r="C39" t="s">
        <v>298</v>
      </c>
    </row>
    <row r="43" spans="1:29" x14ac:dyDescent="0.25">
      <c r="R43" s="29"/>
    </row>
    <row r="44" spans="1:29" x14ac:dyDescent="0.25">
      <c r="R44" s="11"/>
    </row>
    <row r="45" spans="1:29" x14ac:dyDescent="0.25">
      <c r="R45" s="11"/>
    </row>
    <row r="46" spans="1:29" x14ac:dyDescent="0.25">
      <c r="R46" s="11"/>
    </row>
    <row r="47" spans="1:29" x14ac:dyDescent="0.25">
      <c r="R47" s="11"/>
    </row>
    <row r="48" spans="1:29" x14ac:dyDescent="0.25">
      <c r="R48" s="11"/>
    </row>
    <row r="49" spans="18:18" x14ac:dyDescent="0.25">
      <c r="R49" s="11"/>
    </row>
    <row r="50" spans="18:18" x14ac:dyDescent="0.25">
      <c r="R50" s="11"/>
    </row>
    <row r="51" spans="18:18" x14ac:dyDescent="0.25">
      <c r="R51" s="11"/>
    </row>
    <row r="52" spans="18:18" x14ac:dyDescent="0.25">
      <c r="R52" s="11"/>
    </row>
    <row r="53" spans="18:18" x14ac:dyDescent="0.25">
      <c r="R53" s="11"/>
    </row>
    <row r="54" spans="18:18" x14ac:dyDescent="0.25">
      <c r="R54" s="11"/>
    </row>
    <row r="55" spans="18:18" x14ac:dyDescent="0.25">
      <c r="R55" s="11"/>
    </row>
    <row r="56" spans="18:18" x14ac:dyDescent="0.25">
      <c r="R56" s="11"/>
    </row>
    <row r="57" spans="18:18" x14ac:dyDescent="0.25">
      <c r="R57" s="11"/>
    </row>
    <row r="58" spans="18:18" x14ac:dyDescent="0.25">
      <c r="R58" s="11"/>
    </row>
    <row r="59" spans="18:18" x14ac:dyDescent="0.25">
      <c r="R59" s="11"/>
    </row>
    <row r="60" spans="18:18" x14ac:dyDescent="0.25">
      <c r="R60" s="11"/>
    </row>
    <row r="61" spans="18:18" x14ac:dyDescent="0.25">
      <c r="R61" s="11"/>
    </row>
    <row r="62" spans="18:18" x14ac:dyDescent="0.25">
      <c r="R62" s="11"/>
    </row>
    <row r="63" spans="18:18" x14ac:dyDescent="0.25">
      <c r="R63" s="11"/>
    </row>
    <row r="64" spans="18:18" x14ac:dyDescent="0.25">
      <c r="R64" s="11"/>
    </row>
    <row r="65" spans="18:18" x14ac:dyDescent="0.25">
      <c r="R65" s="11"/>
    </row>
    <row r="66" spans="18:18" x14ac:dyDescent="0.25">
      <c r="R66" s="11"/>
    </row>
    <row r="67" spans="18:18" x14ac:dyDescent="0.25">
      <c r="R67" s="11"/>
    </row>
    <row r="68" spans="18:18" x14ac:dyDescent="0.25">
      <c r="R68" s="11"/>
    </row>
    <row r="69" spans="18:18" x14ac:dyDescent="0.25">
      <c r="R69" s="11"/>
    </row>
    <row r="70" spans="18:18" x14ac:dyDescent="0.25">
      <c r="R70" s="11"/>
    </row>
    <row r="71" spans="18:18" x14ac:dyDescent="0.25">
      <c r="R71" s="11"/>
    </row>
    <row r="72" spans="18:18" x14ac:dyDescent="0.25">
      <c r="R72" s="11"/>
    </row>
    <row r="73" spans="18:18" x14ac:dyDescent="0.25">
      <c r="R73" s="11"/>
    </row>
    <row r="74" spans="18:18" x14ac:dyDescent="0.25">
      <c r="R74" s="11"/>
    </row>
    <row r="75" spans="18:18" x14ac:dyDescent="0.25">
      <c r="R75" s="11"/>
    </row>
    <row r="76" spans="18:18" x14ac:dyDescent="0.25">
      <c r="R76" s="11"/>
    </row>
    <row r="77" spans="18:18" x14ac:dyDescent="0.25">
      <c r="R77" s="11"/>
    </row>
    <row r="78" spans="18:18" x14ac:dyDescent="0.25">
      <c r="R78" s="11"/>
    </row>
    <row r="79" spans="18:18" x14ac:dyDescent="0.25">
      <c r="R79" s="11"/>
    </row>
  </sheetData>
  <phoneticPr fontId="3" type="noConversion"/>
  <conditionalFormatting sqref="I2:I36">
    <cfRule type="iconSet" priority="4">
      <iconSet>
        <cfvo type="percent" val="0"/>
        <cfvo type="num" val="0.6"/>
        <cfvo type="num" val="0.7" gte="0"/>
      </iconSet>
    </cfRule>
  </conditionalFormatting>
  <dataValidations count="2">
    <dataValidation type="list" allowBlank="1" showInputMessage="1" showErrorMessage="1" sqref="AE1" xr:uid="{723C04B4-BB26-4262-8834-462B930F3FE3}">
      <formula1>$A$1:$AC$1</formula1>
    </dataValidation>
    <dataValidation type="list" allowBlank="1" showInputMessage="1" showErrorMessage="1" sqref="B2:B36" xr:uid="{3B61D7E6-C601-4AF1-B814-CA1331F15B67}">
      <formula1>ListPoste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DD9EB-600D-4E05-9C38-4AE8377F9E3A}">
  <dimension ref="A1:AZ79"/>
  <sheetViews>
    <sheetView topLeftCell="A11" zoomScale="80" zoomScaleNormal="70" workbookViewId="0">
      <pane xSplit="1" topLeftCell="G1" activePane="topRight" state="frozen"/>
      <selection activeCell="A18" sqref="A18"/>
      <selection pane="topRight" activeCell="F4" sqref="F4"/>
    </sheetView>
  </sheetViews>
  <sheetFormatPr baseColWidth="10" defaultColWidth="10.5703125" defaultRowHeight="15" x14ac:dyDescent="0.25"/>
  <cols>
    <col min="1" max="1" width="12.42578125" bestFit="1" customWidth="1"/>
    <col min="2" max="2" width="13.85546875" bestFit="1" customWidth="1"/>
    <col min="3" max="3" width="16" bestFit="1" customWidth="1"/>
    <col min="4" max="4" width="13.7109375" bestFit="1" customWidth="1"/>
    <col min="5" max="5" width="22.42578125" bestFit="1" customWidth="1"/>
    <col min="6" max="6" width="22.85546875" bestFit="1" customWidth="1"/>
    <col min="7" max="7" width="14.140625" bestFit="1" customWidth="1"/>
    <col min="8" max="8" width="17.140625" bestFit="1" customWidth="1"/>
    <col min="9" max="9" width="16" bestFit="1" customWidth="1"/>
    <col min="10" max="12" width="16.42578125" bestFit="1" customWidth="1"/>
    <col min="13" max="15" width="16.42578125" customWidth="1"/>
    <col min="16" max="16" width="19.85546875" bestFit="1" customWidth="1"/>
    <col min="17" max="19" width="19.85546875" customWidth="1"/>
    <col min="20" max="20" width="22.5703125" bestFit="1" customWidth="1"/>
    <col min="21" max="21" width="20.28515625" bestFit="1" customWidth="1"/>
    <col min="22" max="22" width="23" bestFit="1" customWidth="1"/>
    <col min="23" max="23" width="20.28515625" bestFit="1" customWidth="1"/>
    <col min="24" max="24" width="23" bestFit="1" customWidth="1"/>
    <col min="25" max="25" width="20.28515625" bestFit="1" customWidth="1"/>
    <col min="26" max="26" width="23" bestFit="1" customWidth="1"/>
    <col min="27" max="27" width="19.28515625" bestFit="1" customWidth="1"/>
    <col min="28" max="28" width="21.42578125" bestFit="1" customWidth="1"/>
    <col min="29" max="29" width="13" customWidth="1"/>
    <col min="30" max="30" width="12.42578125" customWidth="1"/>
    <col min="31" max="31" width="14" bestFit="1" customWidth="1"/>
    <col min="32" max="32" width="10" customWidth="1"/>
  </cols>
  <sheetData>
    <row r="1" spans="1:50" x14ac:dyDescent="0.25">
      <c r="A1" s="10" t="s">
        <v>0</v>
      </c>
      <c r="B1" s="10" t="s">
        <v>1</v>
      </c>
      <c r="C1" s="10" t="s">
        <v>2</v>
      </c>
      <c r="D1" s="10" t="s">
        <v>4</v>
      </c>
      <c r="E1" s="10" t="s">
        <v>331</v>
      </c>
      <c r="F1" s="10" t="s">
        <v>293</v>
      </c>
      <c r="G1" s="10" t="s">
        <v>6</v>
      </c>
      <c r="H1" s="10" t="s">
        <v>100</v>
      </c>
      <c r="I1" s="10" t="s">
        <v>10</v>
      </c>
      <c r="J1" s="10" t="s">
        <v>11</v>
      </c>
      <c r="K1" s="10" t="s">
        <v>332</v>
      </c>
      <c r="L1" s="10" t="s">
        <v>333</v>
      </c>
      <c r="M1" s="10" t="s">
        <v>341</v>
      </c>
      <c r="N1" s="35" t="s">
        <v>338</v>
      </c>
      <c r="O1" s="10" t="s">
        <v>339</v>
      </c>
      <c r="P1" s="10" t="s">
        <v>340</v>
      </c>
      <c r="Q1" s="10" t="s">
        <v>342</v>
      </c>
      <c r="R1" s="10" t="s">
        <v>343</v>
      </c>
      <c r="S1" s="10" t="s">
        <v>344</v>
      </c>
      <c r="T1" s="10" t="s">
        <v>14</v>
      </c>
      <c r="U1" s="10" t="s">
        <v>15</v>
      </c>
      <c r="V1" s="10" t="s">
        <v>16</v>
      </c>
      <c r="W1" s="10" t="s">
        <v>17</v>
      </c>
      <c r="X1" s="10" t="s">
        <v>334</v>
      </c>
      <c r="Y1" s="10" t="s">
        <v>335</v>
      </c>
      <c r="Z1" s="10" t="s">
        <v>336</v>
      </c>
      <c r="AA1" s="10" t="s">
        <v>337</v>
      </c>
      <c r="AB1" s="10" t="s">
        <v>22</v>
      </c>
      <c r="AD1" s="2"/>
    </row>
    <row r="2" spans="1:50" x14ac:dyDescent="0.25">
      <c r="A2" s="11" t="s">
        <v>56</v>
      </c>
      <c r="B2" s="11" t="s">
        <v>45</v>
      </c>
      <c r="C2" s="11" t="s">
        <v>330</v>
      </c>
      <c r="D2" s="11">
        <v>70.400000000000006</v>
      </c>
      <c r="E2" s="11">
        <v>14.4</v>
      </c>
      <c r="F2" s="18">
        <v>480</v>
      </c>
      <c r="G2" s="11"/>
      <c r="H2" s="11">
        <v>70</v>
      </c>
      <c r="I2" s="11">
        <v>2.15</v>
      </c>
      <c r="J2" s="11">
        <v>3.75</v>
      </c>
      <c r="K2" s="11">
        <v>5.38</v>
      </c>
      <c r="L2" s="11">
        <v>7.05</v>
      </c>
      <c r="M2" s="11">
        <f>ListDatas34[[#This Row],[10m (s)]]</f>
        <v>2.15</v>
      </c>
      <c r="N2" s="36">
        <f>ListDatas34[[#This Row],[20m (s)]]-ListDatas34[[#This Row],[10m (s)]]</f>
        <v>1.6</v>
      </c>
      <c r="O2" s="11">
        <f>ListDatas34[[#This Row],[30m (s)]]-ListDatas34[[#This Row],[20m (s)]]</f>
        <v>1.63</v>
      </c>
      <c r="P2" s="11">
        <f>ListDatas34[[#This Row],[40m (s)]]-ListDatas34[[#This Row],[30m (s)]]</f>
        <v>1.67</v>
      </c>
      <c r="Q2" s="12">
        <f>10/ListDatas34[[#This Row],[10m - 20m]]</f>
        <v>6.25</v>
      </c>
      <c r="R2" s="12">
        <f>10/ListDatas34[[#This Row],[20-30m]]</f>
        <v>6.1349693251533743</v>
      </c>
      <c r="S2" s="12">
        <f>10/ListDatas34[[#This Row],[30-40m]]</f>
        <v>5.9880239520958085</v>
      </c>
      <c r="T2" s="12">
        <f>10/ListDatas34[[#This Row],[10m (s)]]</f>
        <v>4.6511627906976747</v>
      </c>
      <c r="U2" s="12">
        <f>ListDatas34[[#This Row],[m.s 10m]]*3.6</f>
        <v>16.744186046511629</v>
      </c>
      <c r="V2" s="12">
        <f>20/ListDatas34[[#This Row],[20m (s)]]</f>
        <v>5.333333333333333</v>
      </c>
      <c r="W2" s="12">
        <f>ListDatas34[[#This Row],[m.s 20m]]*3.6</f>
        <v>19.2</v>
      </c>
      <c r="X2" s="12">
        <f>30/ListDatas34[[#This Row],[30m (s)]]</f>
        <v>5.5762081784386615</v>
      </c>
      <c r="Y2" s="12">
        <f>ListDatas34[[#This Row],[m.s 30m]]*3.6</f>
        <v>20.07434944237918</v>
      </c>
      <c r="Z2" s="12">
        <f>40/ListDatas34[[#This Row],[40m (s)]]</f>
        <v>5.6737588652482271</v>
      </c>
      <c r="AA2" s="12">
        <f>ListDatas34[[#This Row],[m.s 40m]]*3.6</f>
        <v>20.425531914893618</v>
      </c>
      <c r="AB2" s="11"/>
      <c r="AD2" s="3"/>
      <c r="AV2" s="5"/>
    </row>
    <row r="3" spans="1:50" x14ac:dyDescent="0.25">
      <c r="A3" s="11" t="s">
        <v>35</v>
      </c>
      <c r="B3" s="11" t="s">
        <v>36</v>
      </c>
      <c r="C3" s="11" t="s">
        <v>330</v>
      </c>
      <c r="D3" s="11">
        <v>62.8</v>
      </c>
      <c r="E3" s="11">
        <v>16.399999999999999</v>
      </c>
      <c r="F3" s="18">
        <v>1240</v>
      </c>
      <c r="G3" s="11">
        <v>50</v>
      </c>
      <c r="H3" s="11">
        <v>70</v>
      </c>
      <c r="I3" s="11">
        <v>1.81</v>
      </c>
      <c r="J3" s="11">
        <v>3.17</v>
      </c>
      <c r="K3" s="11">
        <v>4.49</v>
      </c>
      <c r="L3" s="11">
        <v>5.87</v>
      </c>
      <c r="M3" s="11">
        <f>ListDatas34[[#This Row],[10m (s)]]</f>
        <v>1.81</v>
      </c>
      <c r="N3" s="11">
        <f>ListDatas34[[#This Row],[20m (s)]]-ListDatas34[[#This Row],[10m (s)]]</f>
        <v>1.3599999999999999</v>
      </c>
      <c r="O3" s="36">
        <f>ListDatas34[[#This Row],[30m (s)]]-ListDatas34[[#This Row],[20m (s)]]</f>
        <v>1.3200000000000003</v>
      </c>
      <c r="P3" s="11">
        <f>ListDatas34[[#This Row],[40m (s)]]-ListDatas34[[#This Row],[30m (s)]]</f>
        <v>1.38</v>
      </c>
      <c r="Q3" s="12">
        <f>10/ListDatas34[[#This Row],[10m - 20m]]</f>
        <v>7.3529411764705888</v>
      </c>
      <c r="R3" s="12">
        <f>10/ListDatas34[[#This Row],[20-30m]]</f>
        <v>7.5757575757575744</v>
      </c>
      <c r="S3" s="12">
        <f>10/ListDatas34[[#This Row],[30-40m]]</f>
        <v>7.2463768115942031</v>
      </c>
      <c r="T3" s="12">
        <f>10/ListDatas34[[#This Row],[10m (s)]]</f>
        <v>5.5248618784530388</v>
      </c>
      <c r="U3" s="12">
        <f>ListDatas34[[#This Row],[m.s 10m]]*3.6</f>
        <v>19.88950276243094</v>
      </c>
      <c r="V3" s="12">
        <f>20/ListDatas34[[#This Row],[20m (s)]]</f>
        <v>6.309148264984227</v>
      </c>
      <c r="W3" s="12">
        <f>ListDatas34[[#This Row],[m.s 20m]]*3.6</f>
        <v>22.712933753943219</v>
      </c>
      <c r="X3" s="12">
        <f>30/ListDatas34[[#This Row],[30m (s)]]</f>
        <v>6.6815144766146988</v>
      </c>
      <c r="Y3" s="12">
        <f>ListDatas34[[#This Row],[m.s 30m]]*3.6</f>
        <v>24.053452115812917</v>
      </c>
      <c r="Z3" s="12">
        <f>40/ListDatas34[[#This Row],[40m (s)]]</f>
        <v>6.8143100511073254</v>
      </c>
      <c r="AA3" s="12">
        <f>ListDatas34[[#This Row],[m.s 40m]]*3.6</f>
        <v>24.531516183986373</v>
      </c>
      <c r="AB3" s="11">
        <v>191</v>
      </c>
      <c r="AD3" s="3"/>
      <c r="AV3" s="3"/>
      <c r="AX3" s="3"/>
    </row>
    <row r="4" spans="1:50" x14ac:dyDescent="0.25">
      <c r="A4" s="11" t="s">
        <v>44</v>
      </c>
      <c r="B4" s="11" t="s">
        <v>45</v>
      </c>
      <c r="C4" s="11" t="s">
        <v>330</v>
      </c>
      <c r="D4" s="11"/>
      <c r="E4" s="11">
        <v>13.3</v>
      </c>
      <c r="F4" s="18">
        <v>400</v>
      </c>
      <c r="G4" s="11"/>
      <c r="H4" s="11">
        <v>90</v>
      </c>
      <c r="I4" s="11">
        <v>1.97</v>
      </c>
      <c r="J4" s="11">
        <v>3.41</v>
      </c>
      <c r="K4" s="11">
        <v>4.78</v>
      </c>
      <c r="L4" s="37">
        <v>6.06</v>
      </c>
      <c r="M4" s="37">
        <f>ListDatas34[[#This Row],[10m (s)]]</f>
        <v>1.97</v>
      </c>
      <c r="N4" s="37">
        <f>ListDatas34[[#This Row],[20m (s)]]-ListDatas34[[#This Row],[10m (s)]]</f>
        <v>1.4400000000000002</v>
      </c>
      <c r="O4" s="37">
        <f>ListDatas34[[#This Row],[30m (s)]]-ListDatas34[[#This Row],[20m (s)]]</f>
        <v>1.37</v>
      </c>
      <c r="P4" s="36">
        <f>ListDatas34[[#This Row],[40m (s)]]-ListDatas34[[#This Row],[30m (s)]]</f>
        <v>1.2799999999999994</v>
      </c>
      <c r="Q4" s="12">
        <f>10/ListDatas34[[#This Row],[10m - 20m]]</f>
        <v>6.9444444444444438</v>
      </c>
      <c r="R4" s="12">
        <f>10/ListDatas34[[#This Row],[20-30m]]</f>
        <v>7.2992700729926998</v>
      </c>
      <c r="S4" s="12">
        <f>10/ListDatas34[[#This Row],[30-40m]]</f>
        <v>7.8125000000000036</v>
      </c>
      <c r="T4" s="12">
        <f>10/ListDatas34[[#This Row],[10m (s)]]</f>
        <v>5.0761421319796955</v>
      </c>
      <c r="U4" s="12">
        <f>ListDatas34[[#This Row],[m.s 10m]]*3.6</f>
        <v>18.274111675126903</v>
      </c>
      <c r="V4" s="12">
        <f>20/ListDatas34[[#This Row],[20m (s)]]</f>
        <v>5.8651026392961878</v>
      </c>
      <c r="W4" s="12">
        <f>ListDatas34[[#This Row],[m.s 20m]]*3.6</f>
        <v>21.114369501466278</v>
      </c>
      <c r="X4" s="12">
        <f>30/ListDatas34[[#This Row],[30m (s)]]</f>
        <v>6.2761506276150625</v>
      </c>
      <c r="Y4" s="12">
        <f>ListDatas34[[#This Row],[m.s 30m]]*3.6</f>
        <v>22.594142259414227</v>
      </c>
      <c r="Z4" s="12">
        <f>40/ListDatas34[[#This Row],[40m (s)]]</f>
        <v>6.6006600660066015</v>
      </c>
      <c r="AA4" s="12">
        <f>ListDatas34[[#This Row],[m.s 40m]]*3.6</f>
        <v>23.762376237623766</v>
      </c>
      <c r="AB4" s="11">
        <v>166</v>
      </c>
      <c r="AD4" s="3"/>
      <c r="AV4" s="3"/>
      <c r="AX4" s="3"/>
    </row>
    <row r="5" spans="1:50" x14ac:dyDescent="0.25">
      <c r="A5" s="11" t="s">
        <v>59</v>
      </c>
      <c r="B5" s="11" t="s">
        <v>45</v>
      </c>
      <c r="C5" s="11" t="s">
        <v>330</v>
      </c>
      <c r="D5" s="11">
        <v>86.65</v>
      </c>
      <c r="E5" s="11">
        <v>13.4</v>
      </c>
      <c r="F5" s="18">
        <v>440</v>
      </c>
      <c r="G5" s="11">
        <v>53</v>
      </c>
      <c r="H5" s="11"/>
      <c r="I5" s="11">
        <v>2.02</v>
      </c>
      <c r="J5" s="11">
        <v>3.5</v>
      </c>
      <c r="K5" s="11">
        <v>4.96</v>
      </c>
      <c r="L5" s="11">
        <v>6.53</v>
      </c>
      <c r="M5" s="11">
        <f>ListDatas34[[#This Row],[10m (s)]]</f>
        <v>2.02</v>
      </c>
      <c r="N5" s="36">
        <f>ListDatas34[[#This Row],[20m (s)]]-ListDatas34[[#This Row],[10m (s)]]</f>
        <v>1.48</v>
      </c>
      <c r="O5" s="36">
        <f>ListDatas34[[#This Row],[30m (s)]]-ListDatas34[[#This Row],[20m (s)]]</f>
        <v>1.46</v>
      </c>
      <c r="P5" s="11">
        <f>ListDatas34[[#This Row],[40m (s)]]-ListDatas34[[#This Row],[30m (s)]]</f>
        <v>1.5700000000000003</v>
      </c>
      <c r="Q5" s="12">
        <f>10/ListDatas34[[#This Row],[10m - 20m]]</f>
        <v>6.756756756756757</v>
      </c>
      <c r="R5" s="12">
        <f>10/ListDatas34[[#This Row],[20-30m]]</f>
        <v>6.8493150684931505</v>
      </c>
      <c r="S5" s="12">
        <f>10/ListDatas34[[#This Row],[30-40m]]</f>
        <v>6.3694267515923553</v>
      </c>
      <c r="T5" s="12">
        <f>10/ListDatas34[[#This Row],[10m (s)]]</f>
        <v>4.9504950495049505</v>
      </c>
      <c r="U5" s="12">
        <f>ListDatas34[[#This Row],[m.s 10m]]*3.6</f>
        <v>17.821782178217823</v>
      </c>
      <c r="V5" s="12">
        <f>20/ListDatas34[[#This Row],[20m (s)]]</f>
        <v>5.7142857142857144</v>
      </c>
      <c r="W5" s="12">
        <f>ListDatas34[[#This Row],[m.s 20m]]*3.6</f>
        <v>20.571428571428573</v>
      </c>
      <c r="X5" s="12">
        <f>30/ListDatas34[[#This Row],[30m (s)]]</f>
        <v>6.0483870967741939</v>
      </c>
      <c r="Y5" s="12">
        <f>ListDatas34[[#This Row],[m.s 30m]]*3.6</f>
        <v>21.7741935483871</v>
      </c>
      <c r="Z5" s="12">
        <f>40/ListDatas34[[#This Row],[40m (s)]]</f>
        <v>6.1255742725880546</v>
      </c>
      <c r="AA5" s="12">
        <f>ListDatas34[[#This Row],[m.s 40m]]*3.6</f>
        <v>22.052067381316999</v>
      </c>
      <c r="AB5" s="11">
        <v>157</v>
      </c>
      <c r="AD5" s="3"/>
      <c r="AV5" s="3"/>
      <c r="AX5" s="3"/>
    </row>
    <row r="6" spans="1:50" x14ac:dyDescent="0.25">
      <c r="A6" s="11" t="s">
        <v>28</v>
      </c>
      <c r="B6" s="11" t="s">
        <v>29</v>
      </c>
      <c r="C6" s="11" t="s">
        <v>330</v>
      </c>
      <c r="D6" s="11">
        <v>65.400000000000006</v>
      </c>
      <c r="E6" s="11">
        <v>15.8</v>
      </c>
      <c r="F6" s="18">
        <v>1160</v>
      </c>
      <c r="G6" s="11">
        <v>60</v>
      </c>
      <c r="H6" s="11">
        <v>85</v>
      </c>
      <c r="I6" s="11">
        <v>1.95</v>
      </c>
      <c r="J6" s="11">
        <v>3.29</v>
      </c>
      <c r="K6" s="11">
        <v>4.63</v>
      </c>
      <c r="L6" s="11">
        <v>5.95</v>
      </c>
      <c r="M6" s="11">
        <f>ListDatas34[[#This Row],[10m (s)]]</f>
        <v>1.95</v>
      </c>
      <c r="N6" s="11">
        <f>ListDatas34[[#This Row],[20m (s)]]-ListDatas34[[#This Row],[10m (s)]]</f>
        <v>1.34</v>
      </c>
      <c r="O6" s="36">
        <f>ListDatas34[[#This Row],[30m (s)]]-ListDatas34[[#This Row],[20m (s)]]</f>
        <v>1.3399999999999999</v>
      </c>
      <c r="P6" s="36">
        <f>ListDatas34[[#This Row],[40m (s)]]-ListDatas34[[#This Row],[30m (s)]]</f>
        <v>1.3200000000000003</v>
      </c>
      <c r="Q6" s="12">
        <f>10/ListDatas34[[#This Row],[10m - 20m]]</f>
        <v>7.4626865671641784</v>
      </c>
      <c r="R6" s="12">
        <f>10/ListDatas34[[#This Row],[20-30m]]</f>
        <v>7.4626865671641802</v>
      </c>
      <c r="S6" s="12">
        <f>10/ListDatas34[[#This Row],[30-40m]]</f>
        <v>7.5757575757575744</v>
      </c>
      <c r="T6" s="12">
        <f>10/ListDatas34[[#This Row],[10m (s)]]</f>
        <v>5.1282051282051286</v>
      </c>
      <c r="U6" s="12">
        <f>ListDatas34[[#This Row],[m.s 10m]]*3.6</f>
        <v>18.461538461538463</v>
      </c>
      <c r="V6" s="12">
        <f>20/ListDatas34[[#This Row],[20m (s)]]</f>
        <v>6.0790273556230998</v>
      </c>
      <c r="W6" s="12">
        <f>ListDatas34[[#This Row],[m.s 20m]]*3.6</f>
        <v>21.88449848024316</v>
      </c>
      <c r="X6" s="12">
        <f>30/ListDatas34[[#This Row],[30m (s)]]</f>
        <v>6.4794816414686824</v>
      </c>
      <c r="Y6" s="12">
        <f>ListDatas34[[#This Row],[m.s 30m]]*3.6</f>
        <v>23.326133909287257</v>
      </c>
      <c r="Z6" s="12">
        <f>40/ListDatas34[[#This Row],[40m (s)]]</f>
        <v>6.7226890756302522</v>
      </c>
      <c r="AA6" s="12">
        <f>ListDatas34[[#This Row],[m.s 40m]]*3.6</f>
        <v>24.201680672268907</v>
      </c>
      <c r="AB6" s="11">
        <v>198</v>
      </c>
      <c r="AD6" s="3"/>
      <c r="AV6" s="3"/>
      <c r="AX6" s="3"/>
    </row>
    <row r="7" spans="1:50" x14ac:dyDescent="0.25">
      <c r="A7" s="11" t="s">
        <v>34</v>
      </c>
      <c r="B7" s="11" t="s">
        <v>29</v>
      </c>
      <c r="C7" s="11" t="s">
        <v>330</v>
      </c>
      <c r="D7" s="11"/>
      <c r="E7" s="13"/>
      <c r="F7" s="19"/>
      <c r="G7" s="11"/>
      <c r="H7" s="11"/>
      <c r="I7" s="11"/>
      <c r="J7" s="11"/>
      <c r="K7" s="11"/>
      <c r="L7" s="11"/>
      <c r="M7" s="11">
        <f>ListDatas34[[#This Row],[10m (s)]]</f>
        <v>0</v>
      </c>
      <c r="N7" s="11">
        <f>ListDatas34[[#This Row],[20m (s)]]-ListDatas34[[#This Row],[10m (s)]]</f>
        <v>0</v>
      </c>
      <c r="O7" s="11">
        <f>ListDatas34[[#This Row],[30m (s)]]-ListDatas34[[#This Row],[20m (s)]]</f>
        <v>0</v>
      </c>
      <c r="P7" s="11">
        <f>ListDatas34[[#This Row],[40m (s)]]-ListDatas34[[#This Row],[30m (s)]]</f>
        <v>0</v>
      </c>
      <c r="Q7" s="12" t="e">
        <f>10/ListDatas34[[#This Row],[10m - 20m]]</f>
        <v>#DIV/0!</v>
      </c>
      <c r="R7" s="12" t="e">
        <f>10/ListDatas34[[#This Row],[20-30m]]</f>
        <v>#DIV/0!</v>
      </c>
      <c r="S7" s="12" t="e">
        <f>10/ListDatas34[[#This Row],[30-40m]]</f>
        <v>#DIV/0!</v>
      </c>
      <c r="T7" s="12" t="e">
        <f>10/ListDatas34[[#This Row],[10m (s)]]</f>
        <v>#DIV/0!</v>
      </c>
      <c r="U7" s="12" t="e">
        <f>ListDatas34[[#This Row],[m.s 10m]]*3.6</f>
        <v>#DIV/0!</v>
      </c>
      <c r="V7" s="12" t="e">
        <f>20/ListDatas34[[#This Row],[20m (s)]]</f>
        <v>#DIV/0!</v>
      </c>
      <c r="W7" s="12" t="e">
        <f>ListDatas34[[#This Row],[m.s 20m]]*3.6</f>
        <v>#DIV/0!</v>
      </c>
      <c r="X7" s="12" t="e">
        <f>30/ListDatas34[[#This Row],[30m (s)]]</f>
        <v>#DIV/0!</v>
      </c>
      <c r="Y7" s="12" t="e">
        <f>ListDatas34[[#This Row],[m.s 30m]]*3.6</f>
        <v>#DIV/0!</v>
      </c>
      <c r="Z7" s="12" t="e">
        <f>40/ListDatas34[[#This Row],[40m (s)]]</f>
        <v>#DIV/0!</v>
      </c>
      <c r="AA7" s="12" t="e">
        <f>ListDatas34[[#This Row],[m.s 40m]]*3.6</f>
        <v>#DIV/0!</v>
      </c>
      <c r="AB7" s="11"/>
      <c r="AD7" s="3"/>
      <c r="AV7" s="3"/>
      <c r="AX7" s="3"/>
    </row>
    <row r="8" spans="1:50" x14ac:dyDescent="0.25">
      <c r="A8" s="13" t="s">
        <v>61</v>
      </c>
      <c r="B8" s="11" t="s">
        <v>45</v>
      </c>
      <c r="C8" s="11" t="s">
        <v>330</v>
      </c>
      <c r="D8" s="11"/>
      <c r="E8" s="13"/>
      <c r="F8" s="19"/>
      <c r="G8" s="11"/>
      <c r="H8" s="11"/>
      <c r="I8" s="11"/>
      <c r="J8" s="11"/>
      <c r="K8" s="11"/>
      <c r="L8" s="11"/>
      <c r="M8" s="11">
        <f>ListDatas34[[#This Row],[10m (s)]]</f>
        <v>0</v>
      </c>
      <c r="N8" s="11">
        <f>ListDatas34[[#This Row],[20m (s)]]-ListDatas34[[#This Row],[10m (s)]]</f>
        <v>0</v>
      </c>
      <c r="O8" s="11">
        <f>ListDatas34[[#This Row],[30m (s)]]-ListDatas34[[#This Row],[20m (s)]]</f>
        <v>0</v>
      </c>
      <c r="P8" s="11">
        <f>ListDatas34[[#This Row],[40m (s)]]-ListDatas34[[#This Row],[30m (s)]]</f>
        <v>0</v>
      </c>
      <c r="Q8" s="12" t="e">
        <f>10/ListDatas34[[#This Row],[10m - 20m]]</f>
        <v>#DIV/0!</v>
      </c>
      <c r="R8" s="12" t="e">
        <f>10/ListDatas34[[#This Row],[20-30m]]</f>
        <v>#DIV/0!</v>
      </c>
      <c r="S8" s="12" t="e">
        <f>10/ListDatas34[[#This Row],[30-40m]]</f>
        <v>#DIV/0!</v>
      </c>
      <c r="T8" s="12" t="e">
        <f>10/ListDatas34[[#This Row],[10m (s)]]</f>
        <v>#DIV/0!</v>
      </c>
      <c r="U8" s="12" t="e">
        <f>ListDatas34[[#This Row],[m.s 10m]]*3.6</f>
        <v>#DIV/0!</v>
      </c>
      <c r="V8" s="12" t="e">
        <f>20/ListDatas34[[#This Row],[20m (s)]]</f>
        <v>#DIV/0!</v>
      </c>
      <c r="W8" s="12" t="e">
        <f>ListDatas34[[#This Row],[m.s 20m]]*3.6</f>
        <v>#DIV/0!</v>
      </c>
      <c r="X8" s="12" t="e">
        <f>30/ListDatas34[[#This Row],[30m (s)]]</f>
        <v>#DIV/0!</v>
      </c>
      <c r="Y8" s="12" t="e">
        <f>ListDatas34[[#This Row],[m.s 30m]]*3.6</f>
        <v>#DIV/0!</v>
      </c>
      <c r="Z8" s="12" t="e">
        <f>40/ListDatas34[[#This Row],[40m (s)]]</f>
        <v>#DIV/0!</v>
      </c>
      <c r="AA8" s="12" t="e">
        <f>ListDatas34[[#This Row],[m.s 40m]]*3.6</f>
        <v>#DIV/0!</v>
      </c>
      <c r="AB8" s="11"/>
      <c r="AD8" s="3"/>
      <c r="AV8" s="3"/>
      <c r="AX8" s="3"/>
    </row>
    <row r="9" spans="1:50" x14ac:dyDescent="0.25">
      <c r="A9" s="11" t="s">
        <v>62</v>
      </c>
      <c r="B9" s="11" t="s">
        <v>295</v>
      </c>
      <c r="C9" s="11" t="s">
        <v>330</v>
      </c>
      <c r="D9" s="11">
        <v>61.25</v>
      </c>
      <c r="E9" s="13"/>
      <c r="F9" s="19"/>
      <c r="G9" s="11">
        <v>45</v>
      </c>
      <c r="H9" s="11"/>
      <c r="I9" s="11">
        <v>1.93</v>
      </c>
      <c r="J9" s="11">
        <v>3.31</v>
      </c>
      <c r="K9" s="11">
        <v>4.6100000000000003</v>
      </c>
      <c r="L9" s="11">
        <v>5.94</v>
      </c>
      <c r="M9" s="11">
        <f>ListDatas34[[#This Row],[10m (s)]]</f>
        <v>1.93</v>
      </c>
      <c r="N9" s="11">
        <f>ListDatas34[[#This Row],[20m (s)]]-ListDatas34[[#This Row],[10m (s)]]</f>
        <v>1.3800000000000001</v>
      </c>
      <c r="O9" s="36">
        <f>ListDatas34[[#This Row],[30m (s)]]-ListDatas34[[#This Row],[20m (s)]]</f>
        <v>1.3000000000000003</v>
      </c>
      <c r="P9" s="11">
        <f>ListDatas34[[#This Row],[40m (s)]]-ListDatas34[[#This Row],[30m (s)]]</f>
        <v>1.33</v>
      </c>
      <c r="Q9" s="12">
        <f>10/ListDatas34[[#This Row],[10m - 20m]]</f>
        <v>7.2463768115942022</v>
      </c>
      <c r="R9" s="12">
        <f>10/ListDatas34[[#This Row],[20-30m]]</f>
        <v>7.6923076923076907</v>
      </c>
      <c r="S9" s="12">
        <f>10/ListDatas34[[#This Row],[30-40m]]</f>
        <v>7.518796992481203</v>
      </c>
      <c r="T9" s="12">
        <f>10/ListDatas34[[#This Row],[10m (s)]]</f>
        <v>5.1813471502590671</v>
      </c>
      <c r="U9" s="12">
        <f>ListDatas34[[#This Row],[m.s 10m]]*3.6</f>
        <v>18.652849740932641</v>
      </c>
      <c r="V9" s="12">
        <f>20/ListDatas34[[#This Row],[20m (s)]]</f>
        <v>6.0422960725075532</v>
      </c>
      <c r="W9" s="12">
        <f>ListDatas34[[#This Row],[m.s 20m]]*3.6</f>
        <v>21.75226586102719</v>
      </c>
      <c r="X9" s="12">
        <f>30/ListDatas34[[#This Row],[30m (s)]]</f>
        <v>6.5075921908893708</v>
      </c>
      <c r="Y9" s="12">
        <f>ListDatas34[[#This Row],[m.s 30m]]*3.6</f>
        <v>23.427331887201735</v>
      </c>
      <c r="Z9" s="12">
        <f>40/ListDatas34[[#This Row],[40m (s)]]</f>
        <v>6.7340067340067336</v>
      </c>
      <c r="AA9" s="12">
        <f>ListDatas34[[#This Row],[m.s 40m]]*3.6</f>
        <v>24.242424242424242</v>
      </c>
      <c r="AB9" s="11"/>
      <c r="AD9" s="3"/>
      <c r="AV9" s="3"/>
      <c r="AX9" s="3"/>
    </row>
    <row r="10" spans="1:50" x14ac:dyDescent="0.25">
      <c r="A10" s="11" t="s">
        <v>52</v>
      </c>
      <c r="B10" s="11" t="s">
        <v>29</v>
      </c>
      <c r="C10" s="11" t="s">
        <v>330</v>
      </c>
      <c r="D10" s="11">
        <v>62.3</v>
      </c>
      <c r="E10" s="11">
        <v>15.5</v>
      </c>
      <c r="F10" s="18">
        <v>960</v>
      </c>
      <c r="G10" s="11">
        <v>42.5</v>
      </c>
      <c r="H10" s="11">
        <v>70</v>
      </c>
      <c r="I10" s="11">
        <v>1.85</v>
      </c>
      <c r="J10" s="11">
        <v>3.24</v>
      </c>
      <c r="K10" s="11">
        <v>4.62</v>
      </c>
      <c r="L10" s="11">
        <v>6.05</v>
      </c>
      <c r="M10" s="11">
        <f>ListDatas34[[#This Row],[10m (s)]]</f>
        <v>1.85</v>
      </c>
      <c r="N10" s="11">
        <f>ListDatas34[[#This Row],[20m (s)]]-ListDatas34[[#This Row],[10m (s)]]</f>
        <v>1.3900000000000001</v>
      </c>
      <c r="O10" s="36">
        <f>ListDatas34[[#This Row],[30m (s)]]-ListDatas34[[#This Row],[20m (s)]]</f>
        <v>1.38</v>
      </c>
      <c r="P10" s="11">
        <f>ListDatas34[[#This Row],[40m (s)]]-ListDatas34[[#This Row],[30m (s)]]</f>
        <v>1.4299999999999997</v>
      </c>
      <c r="Q10" s="12">
        <f>10/ListDatas34[[#This Row],[10m - 20m]]</f>
        <v>7.1942446043165464</v>
      </c>
      <c r="R10" s="12">
        <f>10/ListDatas34[[#This Row],[20-30m]]</f>
        <v>7.2463768115942031</v>
      </c>
      <c r="S10" s="12">
        <f>10/ListDatas34[[#This Row],[30-40m]]</f>
        <v>6.9930069930069942</v>
      </c>
      <c r="T10" s="12">
        <f>10/ListDatas34[[#This Row],[10m (s)]]</f>
        <v>5.4054054054054053</v>
      </c>
      <c r="U10" s="12">
        <f>ListDatas34[[#This Row],[m.s 10m]]*3.6</f>
        <v>19.45945945945946</v>
      </c>
      <c r="V10" s="12">
        <f>20/ListDatas34[[#This Row],[20m (s)]]</f>
        <v>6.1728395061728394</v>
      </c>
      <c r="W10" s="12">
        <f>ListDatas34[[#This Row],[m.s 20m]]*3.6</f>
        <v>22.222222222222221</v>
      </c>
      <c r="X10" s="12">
        <f>30/ListDatas34[[#This Row],[30m (s)]]</f>
        <v>6.4935064935064934</v>
      </c>
      <c r="Y10" s="12">
        <f>ListDatas34[[#This Row],[m.s 30m]]*3.6</f>
        <v>23.376623376623378</v>
      </c>
      <c r="Z10" s="12">
        <f>40/ListDatas34[[#This Row],[40m (s)]]</f>
        <v>6.6115702479338845</v>
      </c>
      <c r="AA10" s="12">
        <f>ListDatas34[[#This Row],[m.s 40m]]*3.6</f>
        <v>23.801652892561986</v>
      </c>
      <c r="AB10" s="11">
        <v>184</v>
      </c>
      <c r="AD10" s="3"/>
      <c r="AV10" s="3"/>
      <c r="AX10" s="3"/>
    </row>
    <row r="11" spans="1:50" x14ac:dyDescent="0.25">
      <c r="A11" s="11" t="s">
        <v>23</v>
      </c>
      <c r="B11" s="11" t="s">
        <v>295</v>
      </c>
      <c r="C11" s="11" t="s">
        <v>330</v>
      </c>
      <c r="D11" s="11"/>
      <c r="E11" s="11"/>
      <c r="F11" s="18">
        <v>960</v>
      </c>
      <c r="G11" s="11"/>
      <c r="H11" s="11"/>
      <c r="I11" s="11">
        <v>1.73</v>
      </c>
      <c r="J11" s="11">
        <v>2.99</v>
      </c>
      <c r="K11" s="11">
        <v>4.2</v>
      </c>
      <c r="L11" s="11">
        <v>5.47</v>
      </c>
      <c r="M11" s="11">
        <f>ListDatas34[[#This Row],[10m (s)]]</f>
        <v>1.73</v>
      </c>
      <c r="N11" s="11">
        <f>ListDatas34[[#This Row],[20m (s)]]-ListDatas34[[#This Row],[10m (s)]]</f>
        <v>1.2600000000000002</v>
      </c>
      <c r="O11" s="36">
        <f>ListDatas34[[#This Row],[30m (s)]]-ListDatas34[[#This Row],[20m (s)]]</f>
        <v>1.21</v>
      </c>
      <c r="P11" s="11">
        <f>ListDatas34[[#This Row],[40m (s)]]-ListDatas34[[#This Row],[30m (s)]]</f>
        <v>1.2699999999999996</v>
      </c>
      <c r="Q11" s="12">
        <f>10/ListDatas34[[#This Row],[10m - 20m]]</f>
        <v>7.936507936507935</v>
      </c>
      <c r="R11" s="12">
        <f>10/ListDatas34[[#This Row],[20-30m]]</f>
        <v>8.2644628099173563</v>
      </c>
      <c r="S11" s="12">
        <f>10/ListDatas34[[#This Row],[30-40m]]</f>
        <v>7.874015748031499</v>
      </c>
      <c r="T11" s="12">
        <f>10/ListDatas34[[#This Row],[10m (s)]]</f>
        <v>5.7803468208092488</v>
      </c>
      <c r="U11" s="12">
        <f>ListDatas34[[#This Row],[m.s 10m]]*3.6</f>
        <v>20.809248554913296</v>
      </c>
      <c r="V11" s="12">
        <f>20/ListDatas34[[#This Row],[20m (s)]]</f>
        <v>6.6889632107023402</v>
      </c>
      <c r="W11" s="12">
        <f>ListDatas34[[#This Row],[m.s 20m]]*3.6</f>
        <v>24.080267558528426</v>
      </c>
      <c r="X11" s="12">
        <f>30/ListDatas34[[#This Row],[30m (s)]]</f>
        <v>7.1428571428571423</v>
      </c>
      <c r="Y11" s="12">
        <f>ListDatas34[[#This Row],[m.s 30m]]*3.6</f>
        <v>25.714285714285712</v>
      </c>
      <c r="Z11" s="12">
        <f>40/ListDatas34[[#This Row],[40m (s)]]</f>
        <v>7.3126142595978063</v>
      </c>
      <c r="AA11" s="12">
        <f>ListDatas34[[#This Row],[m.s 40m]]*3.6</f>
        <v>26.325411334552104</v>
      </c>
      <c r="AB11" s="11">
        <v>214</v>
      </c>
      <c r="AD11" s="3"/>
      <c r="AV11" s="3"/>
      <c r="AX11" s="3"/>
    </row>
    <row r="12" spans="1:50" x14ac:dyDescent="0.25">
      <c r="A12" s="11" t="s">
        <v>48</v>
      </c>
      <c r="B12" s="11" t="s">
        <v>49</v>
      </c>
      <c r="C12" s="11" t="s">
        <v>330</v>
      </c>
      <c r="D12" s="11">
        <v>65.400000000000006</v>
      </c>
      <c r="E12" s="11"/>
      <c r="F12" s="18"/>
      <c r="G12" s="11">
        <v>45</v>
      </c>
      <c r="H12" s="11"/>
      <c r="I12" s="11"/>
      <c r="J12" s="11"/>
      <c r="K12" s="11"/>
      <c r="L12" s="11"/>
      <c r="M12" s="11">
        <f>ListDatas34[[#This Row],[10m (s)]]</f>
        <v>0</v>
      </c>
      <c r="N12" s="11">
        <f>ListDatas34[[#This Row],[20m (s)]]-ListDatas34[[#This Row],[10m (s)]]</f>
        <v>0</v>
      </c>
      <c r="O12" s="11">
        <f>ListDatas34[[#This Row],[30m (s)]]-ListDatas34[[#This Row],[20m (s)]]</f>
        <v>0</v>
      </c>
      <c r="P12" s="11">
        <f>ListDatas34[[#This Row],[40m (s)]]-ListDatas34[[#This Row],[30m (s)]]</f>
        <v>0</v>
      </c>
      <c r="Q12" s="12" t="e">
        <f>10/ListDatas34[[#This Row],[10m - 20m]]</f>
        <v>#DIV/0!</v>
      </c>
      <c r="R12" s="12" t="e">
        <f>10/ListDatas34[[#This Row],[20-30m]]</f>
        <v>#DIV/0!</v>
      </c>
      <c r="S12" s="12" t="e">
        <f>10/ListDatas34[[#This Row],[30-40m]]</f>
        <v>#DIV/0!</v>
      </c>
      <c r="T12" s="12" t="e">
        <f>10/ListDatas34[[#This Row],[10m (s)]]</f>
        <v>#DIV/0!</v>
      </c>
      <c r="U12" s="12" t="e">
        <f>ListDatas34[[#This Row],[m.s 10m]]*3.6</f>
        <v>#DIV/0!</v>
      </c>
      <c r="V12" s="12" t="e">
        <f>20/ListDatas34[[#This Row],[20m (s)]]</f>
        <v>#DIV/0!</v>
      </c>
      <c r="W12" s="12" t="e">
        <f>ListDatas34[[#This Row],[m.s 20m]]*3.6</f>
        <v>#DIV/0!</v>
      </c>
      <c r="X12" s="12" t="e">
        <f>30/ListDatas34[[#This Row],[30m (s)]]</f>
        <v>#DIV/0!</v>
      </c>
      <c r="Y12" s="12" t="e">
        <f>ListDatas34[[#This Row],[m.s 30m]]*3.6</f>
        <v>#DIV/0!</v>
      </c>
      <c r="Z12" s="12" t="e">
        <f>40/ListDatas34[[#This Row],[40m (s)]]</f>
        <v>#DIV/0!</v>
      </c>
      <c r="AA12" s="12" t="e">
        <f>ListDatas34[[#This Row],[m.s 40m]]*3.6</f>
        <v>#DIV/0!</v>
      </c>
      <c r="AB12" s="11"/>
      <c r="AD12" s="3"/>
      <c r="AV12" s="3"/>
      <c r="AX12" s="3"/>
    </row>
    <row r="13" spans="1:50" x14ac:dyDescent="0.25">
      <c r="A13" s="11" t="s">
        <v>63</v>
      </c>
      <c r="B13" s="11" t="s">
        <v>45</v>
      </c>
      <c r="C13" s="11" t="s">
        <v>330</v>
      </c>
      <c r="D13" s="11"/>
      <c r="E13" s="13"/>
      <c r="F13" s="19"/>
      <c r="G13" s="11"/>
      <c r="H13" s="11"/>
      <c r="I13" s="11">
        <v>1.96</v>
      </c>
      <c r="J13" s="11">
        <v>3.44</v>
      </c>
      <c r="K13" s="11">
        <v>4.9400000000000004</v>
      </c>
      <c r="L13" s="11">
        <v>6.47</v>
      </c>
      <c r="M13" s="11">
        <f>ListDatas34[[#This Row],[10m (s)]]</f>
        <v>1.96</v>
      </c>
      <c r="N13" s="36">
        <f>ListDatas34[[#This Row],[20m (s)]]-ListDatas34[[#This Row],[10m (s)]]</f>
        <v>1.48</v>
      </c>
      <c r="O13" s="11">
        <f>ListDatas34[[#This Row],[30m (s)]]-ListDatas34[[#This Row],[20m (s)]]</f>
        <v>1.5000000000000004</v>
      </c>
      <c r="P13" s="11">
        <f>ListDatas34[[#This Row],[40m (s)]]-ListDatas34[[#This Row],[30m (s)]]</f>
        <v>1.5299999999999994</v>
      </c>
      <c r="Q13" s="12">
        <f>10/ListDatas34[[#This Row],[10m - 20m]]</f>
        <v>6.756756756756757</v>
      </c>
      <c r="R13" s="12">
        <f>10/ListDatas34[[#This Row],[20-30m]]</f>
        <v>6.6666666666666643</v>
      </c>
      <c r="S13" s="12">
        <f>10/ListDatas34[[#This Row],[30-40m]]</f>
        <v>6.5359477124183032</v>
      </c>
      <c r="T13" s="12">
        <f>10/ListDatas34[[#This Row],[10m (s)]]</f>
        <v>5.1020408163265305</v>
      </c>
      <c r="U13" s="12">
        <f>ListDatas34[[#This Row],[m.s 10m]]*3.6</f>
        <v>18.367346938775512</v>
      </c>
      <c r="V13" s="12">
        <f>20/ListDatas34[[#This Row],[20m (s)]]</f>
        <v>5.8139534883720927</v>
      </c>
      <c r="W13" s="12">
        <f>ListDatas34[[#This Row],[m.s 20m]]*3.6</f>
        <v>20.930232558139533</v>
      </c>
      <c r="X13" s="12">
        <f>30/ListDatas34[[#This Row],[30m (s)]]</f>
        <v>6.0728744939271246</v>
      </c>
      <c r="Y13" s="12">
        <f>ListDatas34[[#This Row],[m.s 30m]]*3.6</f>
        <v>21.862348178137648</v>
      </c>
      <c r="Z13" s="12">
        <f>40/ListDatas34[[#This Row],[40m (s)]]</f>
        <v>6.1823802163833079</v>
      </c>
      <c r="AA13" s="12">
        <f>ListDatas34[[#This Row],[m.s 40m]]*3.6</f>
        <v>22.256568778979908</v>
      </c>
      <c r="AB13" s="11"/>
      <c r="AD13" s="3"/>
      <c r="AV13" s="3"/>
      <c r="AX13" s="3"/>
    </row>
    <row r="14" spans="1:50" x14ac:dyDescent="0.25">
      <c r="A14" s="11" t="s">
        <v>43</v>
      </c>
      <c r="B14" s="11" t="s">
        <v>29</v>
      </c>
      <c r="C14" s="11" t="s">
        <v>330</v>
      </c>
      <c r="D14" s="11">
        <v>74.8</v>
      </c>
      <c r="E14" s="11">
        <v>15.1</v>
      </c>
      <c r="F14" s="18">
        <v>840</v>
      </c>
      <c r="G14" s="11">
        <v>50</v>
      </c>
      <c r="H14" s="11">
        <v>80</v>
      </c>
      <c r="I14" s="11">
        <v>1.84</v>
      </c>
      <c r="J14" s="11">
        <v>3.28</v>
      </c>
      <c r="K14" s="11">
        <v>4.6399999999999997</v>
      </c>
      <c r="L14" s="11">
        <v>6.09</v>
      </c>
      <c r="M14" s="11">
        <f>ListDatas34[[#This Row],[10m (s)]]</f>
        <v>1.84</v>
      </c>
      <c r="N14" s="11">
        <f>ListDatas34[[#This Row],[20m (s)]]-ListDatas34[[#This Row],[10m (s)]]</f>
        <v>1.4399999999999997</v>
      </c>
      <c r="O14" s="36">
        <f>ListDatas34[[#This Row],[30m (s)]]-ListDatas34[[#This Row],[20m (s)]]</f>
        <v>1.3599999999999999</v>
      </c>
      <c r="P14" s="11">
        <f>ListDatas34[[#This Row],[40m (s)]]-ListDatas34[[#This Row],[30m (s)]]</f>
        <v>1.4500000000000002</v>
      </c>
      <c r="Q14" s="12">
        <f>10/ListDatas34[[#This Row],[10m - 20m]]</f>
        <v>6.9444444444444455</v>
      </c>
      <c r="R14" s="12">
        <f>10/ListDatas34[[#This Row],[20-30m]]</f>
        <v>7.3529411764705888</v>
      </c>
      <c r="S14" s="12">
        <f>10/ListDatas34[[#This Row],[30-40m]]</f>
        <v>6.8965517241379306</v>
      </c>
      <c r="T14" s="12">
        <f>10/ListDatas34[[#This Row],[10m (s)]]</f>
        <v>5.4347826086956523</v>
      </c>
      <c r="U14" s="12">
        <f>ListDatas34[[#This Row],[m.s 10m]]*3.6</f>
        <v>19.565217391304348</v>
      </c>
      <c r="V14" s="12">
        <f>20/ListDatas34[[#This Row],[20m (s)]]</f>
        <v>6.0975609756097562</v>
      </c>
      <c r="W14" s="12">
        <f>ListDatas34[[#This Row],[m.s 20m]]*3.6</f>
        <v>21.951219512195124</v>
      </c>
      <c r="X14" s="12">
        <f>30/ListDatas34[[#This Row],[30m (s)]]</f>
        <v>6.4655172413793105</v>
      </c>
      <c r="Y14" s="12">
        <f>ListDatas34[[#This Row],[m.s 30m]]*3.6</f>
        <v>23.27586206896552</v>
      </c>
      <c r="Z14" s="12">
        <f>40/ListDatas34[[#This Row],[40m (s)]]</f>
        <v>6.5681444991789819</v>
      </c>
      <c r="AA14" s="12">
        <f>ListDatas34[[#This Row],[m.s 40m]]*3.6</f>
        <v>23.645320197044335</v>
      </c>
      <c r="AB14" s="11">
        <v>187</v>
      </c>
      <c r="AD14" s="3"/>
      <c r="AV14" s="3"/>
      <c r="AX14" s="3"/>
    </row>
    <row r="15" spans="1:50" x14ac:dyDescent="0.25">
      <c r="A15" s="13" t="s">
        <v>58</v>
      </c>
      <c r="B15" s="11" t="s">
        <v>45</v>
      </c>
      <c r="C15" s="11" t="s">
        <v>330</v>
      </c>
      <c r="D15" s="11">
        <v>73</v>
      </c>
      <c r="E15" s="13"/>
      <c r="F15" s="19"/>
      <c r="G15" s="11"/>
      <c r="H15" s="11"/>
      <c r="I15" s="11"/>
      <c r="J15" s="11"/>
      <c r="K15" s="11"/>
      <c r="L15" s="11"/>
      <c r="M15" s="11">
        <f>ListDatas34[[#This Row],[10m (s)]]</f>
        <v>0</v>
      </c>
      <c r="N15" s="11">
        <f>ListDatas34[[#This Row],[20m (s)]]-ListDatas34[[#This Row],[10m (s)]]</f>
        <v>0</v>
      </c>
      <c r="O15" s="11">
        <f>ListDatas34[[#This Row],[30m (s)]]-ListDatas34[[#This Row],[20m (s)]]</f>
        <v>0</v>
      </c>
      <c r="P15" s="11">
        <f>ListDatas34[[#This Row],[40m (s)]]-ListDatas34[[#This Row],[30m (s)]]</f>
        <v>0</v>
      </c>
      <c r="Q15" s="12" t="e">
        <f>10/ListDatas34[[#This Row],[10m - 20m]]</f>
        <v>#DIV/0!</v>
      </c>
      <c r="R15" s="12" t="e">
        <f>10/ListDatas34[[#This Row],[20-30m]]</f>
        <v>#DIV/0!</v>
      </c>
      <c r="S15" s="12" t="e">
        <f>10/ListDatas34[[#This Row],[30-40m]]</f>
        <v>#DIV/0!</v>
      </c>
      <c r="T15" s="12" t="e">
        <f>10/ListDatas34[[#This Row],[10m (s)]]</f>
        <v>#DIV/0!</v>
      </c>
      <c r="U15" s="12" t="e">
        <f>ListDatas34[[#This Row],[m.s 10m]]*3.6</f>
        <v>#DIV/0!</v>
      </c>
      <c r="V15" s="12" t="e">
        <f>20/ListDatas34[[#This Row],[20m (s)]]</f>
        <v>#DIV/0!</v>
      </c>
      <c r="W15" s="12" t="e">
        <f>ListDatas34[[#This Row],[m.s 20m]]*3.6</f>
        <v>#DIV/0!</v>
      </c>
      <c r="X15" s="12" t="e">
        <f>30/ListDatas34[[#This Row],[30m (s)]]</f>
        <v>#DIV/0!</v>
      </c>
      <c r="Y15" s="12" t="e">
        <f>ListDatas34[[#This Row],[m.s 30m]]*3.6</f>
        <v>#DIV/0!</v>
      </c>
      <c r="Z15" s="12" t="e">
        <f>40/ListDatas34[[#This Row],[40m (s)]]</f>
        <v>#DIV/0!</v>
      </c>
      <c r="AA15" s="12" t="e">
        <f>ListDatas34[[#This Row],[m.s 40m]]*3.6</f>
        <v>#DIV/0!</v>
      </c>
      <c r="AB15" s="11"/>
      <c r="AD15" s="3"/>
      <c r="AV15" s="3"/>
      <c r="AX15" s="3"/>
    </row>
    <row r="16" spans="1:50" x14ac:dyDescent="0.25">
      <c r="A16" s="11" t="s">
        <v>60</v>
      </c>
      <c r="B16" s="11" t="s">
        <v>49</v>
      </c>
      <c r="C16" s="11" t="s">
        <v>330</v>
      </c>
      <c r="D16" s="11">
        <v>68.25</v>
      </c>
      <c r="E16" s="11"/>
      <c r="F16" s="18">
        <v>400</v>
      </c>
      <c r="G16" s="11">
        <v>32.5</v>
      </c>
      <c r="H16" s="11">
        <v>40</v>
      </c>
      <c r="I16" s="11">
        <v>2.11</v>
      </c>
      <c r="J16" s="11">
        <v>3.66</v>
      </c>
      <c r="K16" s="11">
        <v>5.19</v>
      </c>
      <c r="L16" s="11">
        <v>6.79</v>
      </c>
      <c r="M16" s="11">
        <f>ListDatas34[[#This Row],[10m (s)]]</f>
        <v>2.11</v>
      </c>
      <c r="N16" s="11">
        <f>ListDatas34[[#This Row],[20m (s)]]-ListDatas34[[#This Row],[10m (s)]]</f>
        <v>1.5500000000000003</v>
      </c>
      <c r="O16" s="36">
        <f>ListDatas34[[#This Row],[30m (s)]]-ListDatas34[[#This Row],[20m (s)]]</f>
        <v>1.5300000000000002</v>
      </c>
      <c r="P16" s="11">
        <f>ListDatas34[[#This Row],[40m (s)]]-ListDatas34[[#This Row],[30m (s)]]</f>
        <v>1.5999999999999996</v>
      </c>
      <c r="Q16" s="12">
        <f>10/ListDatas34[[#This Row],[10m - 20m]]</f>
        <v>6.4516129032258052</v>
      </c>
      <c r="R16" s="12">
        <f>10/ListDatas34[[#This Row],[20-30m]]</f>
        <v>6.5359477124182996</v>
      </c>
      <c r="S16" s="12">
        <f>10/ListDatas34[[#This Row],[30-40m]]</f>
        <v>6.2500000000000018</v>
      </c>
      <c r="T16" s="12">
        <f>10/ListDatas34[[#This Row],[10m (s)]]</f>
        <v>4.7393364928909953</v>
      </c>
      <c r="U16" s="12">
        <f>ListDatas34[[#This Row],[m.s 10m]]*3.6</f>
        <v>17.061611374407583</v>
      </c>
      <c r="V16" s="12">
        <f>20/ListDatas34[[#This Row],[20m (s)]]</f>
        <v>5.4644808743169397</v>
      </c>
      <c r="W16" s="12">
        <f>ListDatas34[[#This Row],[m.s 20m]]*3.6</f>
        <v>19.672131147540984</v>
      </c>
      <c r="X16" s="12">
        <f>30/ListDatas34[[#This Row],[30m (s)]]</f>
        <v>5.7803468208092479</v>
      </c>
      <c r="Y16" s="12">
        <f>ListDatas34[[#This Row],[m.s 30m]]*3.6</f>
        <v>20.809248554913292</v>
      </c>
      <c r="Z16" s="12">
        <f>40/ListDatas34[[#This Row],[40m (s)]]</f>
        <v>5.8910162002945512</v>
      </c>
      <c r="AA16" s="12">
        <f>ListDatas34[[#This Row],[m.s 40m]]*3.6</f>
        <v>21.207658321060386</v>
      </c>
      <c r="AB16" s="11"/>
      <c r="AD16" s="3"/>
      <c r="AV16" s="3"/>
      <c r="AX16" s="3"/>
    </row>
    <row r="17" spans="1:52" x14ac:dyDescent="0.25">
      <c r="A17" s="11" t="s">
        <v>50</v>
      </c>
      <c r="B17" s="11" t="s">
        <v>36</v>
      </c>
      <c r="C17" s="11" t="s">
        <v>330</v>
      </c>
      <c r="D17" s="11"/>
      <c r="E17" s="11"/>
      <c r="F17" s="18">
        <v>1120</v>
      </c>
      <c r="G17" s="11">
        <v>40</v>
      </c>
      <c r="H17" s="11">
        <v>60</v>
      </c>
      <c r="I17" s="11">
        <v>1.87</v>
      </c>
      <c r="J17" s="11">
        <v>3.27</v>
      </c>
      <c r="K17" s="11">
        <v>4.6100000000000003</v>
      </c>
      <c r="L17" s="11">
        <v>6.06</v>
      </c>
      <c r="M17" s="11">
        <f>ListDatas34[[#This Row],[10m (s)]]</f>
        <v>1.87</v>
      </c>
      <c r="N17" s="11">
        <f>ListDatas34[[#This Row],[20m (s)]]-ListDatas34[[#This Row],[10m (s)]]</f>
        <v>1.4</v>
      </c>
      <c r="O17" s="36">
        <f>ListDatas34[[#This Row],[30m (s)]]-ListDatas34[[#This Row],[20m (s)]]</f>
        <v>1.3400000000000003</v>
      </c>
      <c r="P17" s="11">
        <f>ListDatas34[[#This Row],[40m (s)]]-ListDatas34[[#This Row],[30m (s)]]</f>
        <v>1.4499999999999993</v>
      </c>
      <c r="Q17" s="12">
        <f>10/ListDatas34[[#This Row],[10m - 20m]]</f>
        <v>7.1428571428571432</v>
      </c>
      <c r="R17" s="12">
        <f>10/ListDatas34[[#This Row],[20-30m]]</f>
        <v>7.4626865671641776</v>
      </c>
      <c r="S17" s="12">
        <f>10/ListDatas34[[#This Row],[30-40m]]</f>
        <v>6.8965517241379342</v>
      </c>
      <c r="T17" s="12">
        <f>10/ListDatas34[[#This Row],[10m (s)]]</f>
        <v>5.3475935828877006</v>
      </c>
      <c r="U17" s="12">
        <f>ListDatas34[[#This Row],[m.s 10m]]*3.6</f>
        <v>19.251336898395724</v>
      </c>
      <c r="V17" s="12">
        <f>20/ListDatas34[[#This Row],[20m (s)]]</f>
        <v>6.1162079510703364</v>
      </c>
      <c r="W17" s="12">
        <f>ListDatas34[[#This Row],[m.s 20m]]*3.6</f>
        <v>22.01834862385321</v>
      </c>
      <c r="X17" s="12">
        <f>30/ListDatas34[[#This Row],[30m (s)]]</f>
        <v>6.5075921908893708</v>
      </c>
      <c r="Y17" s="12">
        <f>ListDatas34[[#This Row],[m.s 30m]]*3.6</f>
        <v>23.427331887201735</v>
      </c>
      <c r="Z17" s="12">
        <f>40/ListDatas34[[#This Row],[40m (s)]]</f>
        <v>6.6006600660066015</v>
      </c>
      <c r="AA17" s="12">
        <f>ListDatas34[[#This Row],[m.s 40m]]*3.6</f>
        <v>23.762376237623766</v>
      </c>
      <c r="AB17" s="11">
        <v>200</v>
      </c>
      <c r="AD17" s="3"/>
      <c r="AV17" s="3"/>
      <c r="AX17" s="3"/>
    </row>
    <row r="18" spans="1:52" x14ac:dyDescent="0.25">
      <c r="A18" s="11" t="s">
        <v>57</v>
      </c>
      <c r="B18" s="11" t="s">
        <v>29</v>
      </c>
      <c r="C18" s="11" t="s">
        <v>330</v>
      </c>
      <c r="D18" s="11">
        <v>51.25</v>
      </c>
      <c r="E18" s="11">
        <v>15.5</v>
      </c>
      <c r="F18" s="18">
        <v>960</v>
      </c>
      <c r="G18" s="11">
        <v>45</v>
      </c>
      <c r="H18" s="11">
        <v>75</v>
      </c>
      <c r="I18" s="11">
        <v>1.96</v>
      </c>
      <c r="J18" s="11">
        <v>3.47</v>
      </c>
      <c r="K18" s="11">
        <v>4.93</v>
      </c>
      <c r="L18" s="11">
        <v>6.53</v>
      </c>
      <c r="M18" s="11">
        <f>ListDatas34[[#This Row],[10m (s)]]</f>
        <v>1.96</v>
      </c>
      <c r="N18" s="11">
        <f>ListDatas34[[#This Row],[20m (s)]]-ListDatas34[[#This Row],[10m (s)]]</f>
        <v>1.5100000000000002</v>
      </c>
      <c r="O18" s="36">
        <f>ListDatas34[[#This Row],[30m (s)]]-ListDatas34[[#This Row],[20m (s)]]</f>
        <v>1.4599999999999995</v>
      </c>
      <c r="P18" s="11">
        <f>ListDatas34[[#This Row],[40m (s)]]-ListDatas34[[#This Row],[30m (s)]]</f>
        <v>1.6000000000000005</v>
      </c>
      <c r="Q18" s="12">
        <f>10/ListDatas34[[#This Row],[10m - 20m]]</f>
        <v>6.6225165562913899</v>
      </c>
      <c r="R18" s="12">
        <f>10/ListDatas34[[#This Row],[20-30m]]</f>
        <v>6.8493150684931532</v>
      </c>
      <c r="S18" s="12">
        <f>10/ListDatas34[[#This Row],[30-40m]]</f>
        <v>6.2499999999999982</v>
      </c>
      <c r="T18" s="12">
        <f>10/ListDatas34[[#This Row],[10m (s)]]</f>
        <v>5.1020408163265305</v>
      </c>
      <c r="U18" s="12">
        <f>ListDatas34[[#This Row],[m.s 10m]]*3.6</f>
        <v>18.367346938775512</v>
      </c>
      <c r="V18" s="12">
        <f>20/ListDatas34[[#This Row],[20m (s)]]</f>
        <v>5.7636887608069163</v>
      </c>
      <c r="W18" s="12">
        <f>ListDatas34[[#This Row],[m.s 20m]]*3.6</f>
        <v>20.749279538904901</v>
      </c>
      <c r="X18" s="12">
        <f>30/ListDatas34[[#This Row],[30m (s)]]</f>
        <v>6.0851926977687629</v>
      </c>
      <c r="Y18" s="12">
        <f>ListDatas34[[#This Row],[m.s 30m]]*3.6</f>
        <v>21.906693711967549</v>
      </c>
      <c r="Z18" s="12">
        <f>40/ListDatas34[[#This Row],[40m (s)]]</f>
        <v>6.1255742725880546</v>
      </c>
      <c r="AA18" s="12">
        <f>ListDatas34[[#This Row],[m.s 40m]]*3.6</f>
        <v>22.052067381316999</v>
      </c>
      <c r="AB18" s="11">
        <v>178</v>
      </c>
      <c r="AD18" s="3"/>
      <c r="AV18" s="3"/>
      <c r="AX18" s="3"/>
    </row>
    <row r="19" spans="1:52" x14ac:dyDescent="0.25">
      <c r="A19" s="11" t="s">
        <v>26</v>
      </c>
      <c r="B19" s="11" t="s">
        <v>296</v>
      </c>
      <c r="C19" s="11" t="s">
        <v>330</v>
      </c>
      <c r="D19" s="11"/>
      <c r="E19" s="11"/>
      <c r="F19" s="18">
        <v>1000</v>
      </c>
      <c r="G19" s="11"/>
      <c r="H19" s="11"/>
      <c r="I19" s="11">
        <v>1.79</v>
      </c>
      <c r="J19" s="11">
        <v>3.11</v>
      </c>
      <c r="K19" s="11">
        <v>4.3899999999999997</v>
      </c>
      <c r="L19" s="11">
        <v>5.71</v>
      </c>
      <c r="M19" s="11">
        <f>ListDatas34[[#This Row],[10m (s)]]</f>
        <v>1.79</v>
      </c>
      <c r="N19" s="11">
        <f>ListDatas34[[#This Row],[20m (s)]]-ListDatas34[[#This Row],[10m (s)]]</f>
        <v>1.3199999999999998</v>
      </c>
      <c r="O19" s="36">
        <f>ListDatas34[[#This Row],[30m (s)]]-ListDatas34[[#This Row],[20m (s)]]</f>
        <v>1.2799999999999998</v>
      </c>
      <c r="P19" s="11">
        <f>ListDatas34[[#This Row],[40m (s)]]-ListDatas34[[#This Row],[30m (s)]]</f>
        <v>1.3200000000000003</v>
      </c>
      <c r="Q19" s="12">
        <f>10/ListDatas34[[#This Row],[10m - 20m]]</f>
        <v>7.575757575757577</v>
      </c>
      <c r="R19" s="12">
        <f>10/ListDatas34[[#This Row],[20-30m]]</f>
        <v>7.8125000000000009</v>
      </c>
      <c r="S19" s="12">
        <f>10/ListDatas34[[#This Row],[30-40m]]</f>
        <v>7.5757575757575744</v>
      </c>
      <c r="T19" s="12">
        <f>10/ListDatas34[[#This Row],[10m (s)]]</f>
        <v>5.5865921787709496</v>
      </c>
      <c r="U19" s="12">
        <f>ListDatas34[[#This Row],[m.s 10m]]*3.6</f>
        <v>20.11173184357542</v>
      </c>
      <c r="V19" s="12">
        <f>20/ListDatas34[[#This Row],[20m (s)]]</f>
        <v>6.4308681672025729</v>
      </c>
      <c r="W19" s="12">
        <f>ListDatas34[[#This Row],[m.s 20m]]*3.6</f>
        <v>23.151125401929264</v>
      </c>
      <c r="X19" s="12">
        <f>30/ListDatas34[[#This Row],[30m (s)]]</f>
        <v>6.83371298405467</v>
      </c>
      <c r="Y19" s="12">
        <f>ListDatas34[[#This Row],[m.s 30m]]*3.6</f>
        <v>24.601366742596813</v>
      </c>
      <c r="Z19" s="12">
        <f>40/ListDatas34[[#This Row],[40m (s)]]</f>
        <v>7.0052539404553418</v>
      </c>
      <c r="AA19" s="12">
        <f>ListDatas34[[#This Row],[m.s 40m]]*3.6</f>
        <v>25.218914185639232</v>
      </c>
      <c r="AB19" s="11">
        <v>215</v>
      </c>
      <c r="AD19" s="3"/>
      <c r="AV19" s="3"/>
      <c r="AX19" s="3"/>
    </row>
    <row r="20" spans="1:52" x14ac:dyDescent="0.25">
      <c r="A20" s="11" t="s">
        <v>55</v>
      </c>
      <c r="B20" s="11" t="s">
        <v>45</v>
      </c>
      <c r="C20" s="11" t="s">
        <v>330</v>
      </c>
      <c r="D20" s="11">
        <v>85.4</v>
      </c>
      <c r="E20" s="13"/>
      <c r="F20" s="18">
        <v>360</v>
      </c>
      <c r="G20" s="11">
        <v>57.5</v>
      </c>
      <c r="H20" s="11">
        <v>90</v>
      </c>
      <c r="I20" s="38">
        <v>1.95</v>
      </c>
      <c r="J20" s="38">
        <v>3.45</v>
      </c>
      <c r="K20" s="38">
        <v>4.8899999999999997</v>
      </c>
      <c r="L20" s="38">
        <v>6.43</v>
      </c>
      <c r="M20" s="38">
        <f>ListDatas34[[#This Row],[10m (s)]]</f>
        <v>1.95</v>
      </c>
      <c r="N20" s="38">
        <f>ListDatas34[[#This Row],[20m (s)]]-ListDatas34[[#This Row],[10m (s)]]</f>
        <v>1.5000000000000002</v>
      </c>
      <c r="O20" s="36">
        <f>ListDatas34[[#This Row],[30m (s)]]-ListDatas34[[#This Row],[20m (s)]]</f>
        <v>1.4399999999999995</v>
      </c>
      <c r="P20" s="38">
        <f>ListDatas34[[#This Row],[40m (s)]]-ListDatas34[[#This Row],[30m (s)]]</f>
        <v>1.54</v>
      </c>
      <c r="Q20" s="12">
        <f>10/ListDatas34[[#This Row],[10m - 20m]]</f>
        <v>6.6666666666666661</v>
      </c>
      <c r="R20" s="12">
        <f>10/ListDatas34[[#This Row],[20-30m]]</f>
        <v>6.9444444444444464</v>
      </c>
      <c r="S20" s="12">
        <f>10/ListDatas34[[#This Row],[30-40m]]</f>
        <v>6.4935064935064934</v>
      </c>
      <c r="T20" s="12">
        <f>10/ListDatas34[[#This Row],[10m (s)]]</f>
        <v>5.1282051282051286</v>
      </c>
      <c r="U20" s="12">
        <f>ListDatas34[[#This Row],[m.s 10m]]*3.6</f>
        <v>18.461538461538463</v>
      </c>
      <c r="V20" s="12">
        <f>20/ListDatas34[[#This Row],[20m (s)]]</f>
        <v>5.7971014492753623</v>
      </c>
      <c r="W20" s="12">
        <f>ListDatas34[[#This Row],[m.s 20m]]*3.6</f>
        <v>20.869565217391305</v>
      </c>
      <c r="X20" s="12">
        <f>30/ListDatas34[[#This Row],[30m (s)]]</f>
        <v>6.1349693251533743</v>
      </c>
      <c r="Y20" s="12">
        <f>ListDatas34[[#This Row],[m.s 30m]]*3.6</f>
        <v>22.085889570552148</v>
      </c>
      <c r="Z20" s="12">
        <f>40/ListDatas34[[#This Row],[40m (s)]]</f>
        <v>6.2208398133748055</v>
      </c>
      <c r="AA20" s="12">
        <f>ListDatas34[[#This Row],[m.s 40m]]*3.6</f>
        <v>22.3950233281493</v>
      </c>
      <c r="AB20" s="11">
        <v>163</v>
      </c>
      <c r="AD20" s="3"/>
      <c r="AV20" s="3"/>
      <c r="AX20" s="3"/>
    </row>
    <row r="21" spans="1:52" x14ac:dyDescent="0.25">
      <c r="A21" s="11" t="s">
        <v>41</v>
      </c>
      <c r="B21" s="11" t="s">
        <v>29</v>
      </c>
      <c r="C21" s="11" t="s">
        <v>330</v>
      </c>
      <c r="D21" s="11">
        <v>64.5</v>
      </c>
      <c r="E21" s="11">
        <v>15.5</v>
      </c>
      <c r="F21" s="18">
        <v>960</v>
      </c>
      <c r="G21" s="11">
        <v>55</v>
      </c>
      <c r="H21" s="11"/>
      <c r="I21" s="11">
        <v>1.9</v>
      </c>
      <c r="J21" s="11">
        <v>3.3</v>
      </c>
      <c r="K21" s="11">
        <v>4.63</v>
      </c>
      <c r="L21" s="11">
        <v>5.95</v>
      </c>
      <c r="M21" s="11">
        <f>ListDatas34[[#This Row],[10m (s)]]</f>
        <v>1.9</v>
      </c>
      <c r="N21" s="11">
        <f>ListDatas34[[#This Row],[20m (s)]]-ListDatas34[[#This Row],[10m (s)]]</f>
        <v>1.4</v>
      </c>
      <c r="O21" s="11">
        <f>ListDatas34[[#This Row],[30m (s)]]-ListDatas34[[#This Row],[20m (s)]]</f>
        <v>1.33</v>
      </c>
      <c r="P21" s="36">
        <f>ListDatas34[[#This Row],[40m (s)]]-ListDatas34[[#This Row],[30m (s)]]</f>
        <v>1.3200000000000003</v>
      </c>
      <c r="Q21" s="12">
        <f>10/ListDatas34[[#This Row],[10m - 20m]]</f>
        <v>7.1428571428571432</v>
      </c>
      <c r="R21" s="12">
        <f>10/ListDatas34[[#This Row],[20-30m]]</f>
        <v>7.518796992481203</v>
      </c>
      <c r="S21" s="12">
        <f>10/ListDatas34[[#This Row],[30-40m]]</f>
        <v>7.5757575757575744</v>
      </c>
      <c r="T21" s="12">
        <f>10/ListDatas34[[#This Row],[10m (s)]]</f>
        <v>5.2631578947368425</v>
      </c>
      <c r="U21" s="12">
        <f>ListDatas34[[#This Row],[m.s 10m]]*3.6</f>
        <v>18.947368421052634</v>
      </c>
      <c r="V21" s="12">
        <f>20/ListDatas34[[#This Row],[20m (s)]]</f>
        <v>6.0606060606060606</v>
      </c>
      <c r="W21" s="12">
        <f>ListDatas34[[#This Row],[m.s 20m]]*3.6</f>
        <v>21.81818181818182</v>
      </c>
      <c r="X21" s="12">
        <f>30/ListDatas34[[#This Row],[30m (s)]]</f>
        <v>6.4794816414686824</v>
      </c>
      <c r="Y21" s="12">
        <f>ListDatas34[[#This Row],[m.s 30m]]*3.6</f>
        <v>23.326133909287257</v>
      </c>
      <c r="Z21" s="12">
        <f>40/ListDatas34[[#This Row],[40m (s)]]</f>
        <v>6.7226890756302522</v>
      </c>
      <c r="AA21" s="12">
        <f>ListDatas34[[#This Row],[m.s 40m]]*3.6</f>
        <v>24.201680672268907</v>
      </c>
      <c r="AB21" s="11"/>
      <c r="AD21" s="3"/>
      <c r="AV21" s="3"/>
      <c r="AX21" s="3"/>
    </row>
    <row r="22" spans="1:52" x14ac:dyDescent="0.25">
      <c r="A22" s="11" t="s">
        <v>47</v>
      </c>
      <c r="B22" s="11" t="s">
        <v>45</v>
      </c>
      <c r="C22" s="11" t="s">
        <v>330</v>
      </c>
      <c r="D22" s="11">
        <v>67.8</v>
      </c>
      <c r="E22" s="11">
        <v>15.5</v>
      </c>
      <c r="F22" s="18">
        <v>960</v>
      </c>
      <c r="G22" s="11">
        <v>55</v>
      </c>
      <c r="H22" s="11"/>
      <c r="I22" s="11">
        <v>1.93</v>
      </c>
      <c r="J22" s="11">
        <v>3.4</v>
      </c>
      <c r="K22" s="11">
        <v>4.8099999999999996</v>
      </c>
      <c r="L22" s="11">
        <v>6.34</v>
      </c>
      <c r="M22" s="11">
        <f>ListDatas34[[#This Row],[10m (s)]]</f>
        <v>1.93</v>
      </c>
      <c r="N22" s="11">
        <f>ListDatas34[[#This Row],[20m (s)]]-ListDatas34[[#This Row],[10m (s)]]</f>
        <v>1.47</v>
      </c>
      <c r="O22" s="36">
        <f>ListDatas34[[#This Row],[30m (s)]]-ListDatas34[[#This Row],[20m (s)]]</f>
        <v>1.4099999999999997</v>
      </c>
      <c r="P22" s="11">
        <f>ListDatas34[[#This Row],[40m (s)]]-ListDatas34[[#This Row],[30m (s)]]</f>
        <v>1.5300000000000002</v>
      </c>
      <c r="Q22" s="12">
        <f>10/ListDatas34[[#This Row],[10m - 20m]]</f>
        <v>6.8027210884353746</v>
      </c>
      <c r="R22" s="12">
        <f>10/ListDatas34[[#This Row],[20-30m]]</f>
        <v>7.092198581560285</v>
      </c>
      <c r="S22" s="12">
        <f>10/ListDatas34[[#This Row],[30-40m]]</f>
        <v>6.5359477124182996</v>
      </c>
      <c r="T22" s="12">
        <f>10/ListDatas34[[#This Row],[10m (s)]]</f>
        <v>5.1813471502590671</v>
      </c>
      <c r="U22" s="12">
        <f>ListDatas34[[#This Row],[m.s 10m]]*3.6</f>
        <v>18.652849740932641</v>
      </c>
      <c r="V22" s="12">
        <f>20/ListDatas34[[#This Row],[20m (s)]]</f>
        <v>5.882352941176471</v>
      </c>
      <c r="W22" s="12">
        <f>ListDatas34[[#This Row],[m.s 20m]]*3.6</f>
        <v>21.176470588235297</v>
      </c>
      <c r="X22" s="12">
        <f>30/ListDatas34[[#This Row],[30m (s)]]</f>
        <v>6.2370062370062378</v>
      </c>
      <c r="Y22" s="12">
        <f>ListDatas34[[#This Row],[m.s 30m]]*3.6</f>
        <v>22.453222453222455</v>
      </c>
      <c r="Z22" s="12">
        <f>40/ListDatas34[[#This Row],[40m (s)]]</f>
        <v>6.309148264984227</v>
      </c>
      <c r="AA22" s="12">
        <f>ListDatas34[[#This Row],[m.s 40m]]*3.6</f>
        <v>22.712933753943219</v>
      </c>
      <c r="AB22" s="11">
        <v>196</v>
      </c>
      <c r="AD22" s="3"/>
      <c r="AV22" s="3"/>
      <c r="AX22" s="3"/>
    </row>
    <row r="23" spans="1:52" ht="18.75" x14ac:dyDescent="0.3">
      <c r="A23" s="11" t="s">
        <v>46</v>
      </c>
      <c r="B23" s="11" t="s">
        <v>45</v>
      </c>
      <c r="C23" s="11" t="s">
        <v>330</v>
      </c>
      <c r="D23" s="11"/>
      <c r="E23" s="11">
        <v>13.3</v>
      </c>
      <c r="F23" s="18">
        <v>480</v>
      </c>
      <c r="G23" s="11">
        <v>55</v>
      </c>
      <c r="H23" s="11">
        <v>90</v>
      </c>
      <c r="I23" s="37">
        <v>1.93</v>
      </c>
      <c r="J23" s="37">
        <v>3.39</v>
      </c>
      <c r="K23" s="37">
        <v>4.8099999999999996</v>
      </c>
      <c r="L23" s="37">
        <v>6.34</v>
      </c>
      <c r="M23" s="37">
        <f>ListDatas34[[#This Row],[10m (s)]]</f>
        <v>1.93</v>
      </c>
      <c r="N23" s="37">
        <f>ListDatas34[[#This Row],[20m (s)]]-ListDatas34[[#This Row],[10m (s)]]</f>
        <v>1.4600000000000002</v>
      </c>
      <c r="O23" s="37">
        <f>ListDatas34[[#This Row],[30m (s)]]-ListDatas34[[#This Row],[20m (s)]]</f>
        <v>1.4199999999999995</v>
      </c>
      <c r="P23" s="36">
        <f>ListDatas34[[#This Row],[40m (s)]]-ListDatas34[[#This Row],[30m (s)]]</f>
        <v>1.5300000000000002</v>
      </c>
      <c r="Q23" s="12">
        <f>10/ListDatas34[[#This Row],[10m - 20m]]</f>
        <v>6.8493150684931496</v>
      </c>
      <c r="R23" s="12">
        <f>10/ListDatas34[[#This Row],[20-30m]]</f>
        <v>7.0422535211267627</v>
      </c>
      <c r="S23" s="12">
        <f>10/ListDatas34[[#This Row],[30-40m]]</f>
        <v>6.5359477124182996</v>
      </c>
      <c r="T23" s="12">
        <f>10/ListDatas34[[#This Row],[10m (s)]]</f>
        <v>5.1813471502590671</v>
      </c>
      <c r="U23" s="12">
        <f>ListDatas34[[#This Row],[m.s 10m]]*3.6</f>
        <v>18.652849740932641</v>
      </c>
      <c r="V23" s="12">
        <f>20/ListDatas34[[#This Row],[20m (s)]]</f>
        <v>5.8997050147492622</v>
      </c>
      <c r="W23" s="12">
        <f>ListDatas34[[#This Row],[m.s 20m]]*3.6</f>
        <v>21.238938053097346</v>
      </c>
      <c r="X23" s="12">
        <f>30/ListDatas34[[#This Row],[30m (s)]]</f>
        <v>6.2370062370062378</v>
      </c>
      <c r="Y23" s="12">
        <f>ListDatas34[[#This Row],[m.s 30m]]*3.6</f>
        <v>22.453222453222455</v>
      </c>
      <c r="Z23" s="12">
        <f>40/ListDatas34[[#This Row],[40m (s)]]</f>
        <v>6.309148264984227</v>
      </c>
      <c r="AA23" s="12">
        <f>ListDatas34[[#This Row],[m.s 40m]]*3.6</f>
        <v>22.712933753943219</v>
      </c>
      <c r="AB23" s="11">
        <v>202</v>
      </c>
      <c r="AD23" s="3"/>
      <c r="AF23" s="9"/>
      <c r="AV23" s="3"/>
      <c r="AX23" s="3"/>
    </row>
    <row r="24" spans="1:52" x14ac:dyDescent="0.25">
      <c r="A24" s="11" t="s">
        <v>27</v>
      </c>
      <c r="B24" s="11" t="s">
        <v>295</v>
      </c>
      <c r="C24" s="11" t="s">
        <v>330</v>
      </c>
      <c r="D24" s="11">
        <v>58.25</v>
      </c>
      <c r="E24" s="11"/>
      <c r="F24" s="18"/>
      <c r="G24" s="11">
        <v>53</v>
      </c>
      <c r="H24" s="11">
        <v>90</v>
      </c>
      <c r="I24" s="11">
        <v>1.77</v>
      </c>
      <c r="J24" s="11">
        <v>3.09</v>
      </c>
      <c r="K24" s="11">
        <v>4.3499999999999996</v>
      </c>
      <c r="L24" s="11">
        <v>5.66</v>
      </c>
      <c r="M24" s="11">
        <f>ListDatas34[[#This Row],[10m (s)]]</f>
        <v>1.77</v>
      </c>
      <c r="N24" s="11">
        <f>ListDatas34[[#This Row],[20m (s)]]-ListDatas34[[#This Row],[10m (s)]]</f>
        <v>1.3199999999999998</v>
      </c>
      <c r="O24" s="36">
        <f>ListDatas34[[#This Row],[30m (s)]]-ListDatas34[[#This Row],[20m (s)]]</f>
        <v>1.2599999999999998</v>
      </c>
      <c r="P24" s="11">
        <f>ListDatas34[[#This Row],[40m (s)]]-ListDatas34[[#This Row],[30m (s)]]</f>
        <v>1.3100000000000005</v>
      </c>
      <c r="Q24" s="12">
        <f>10/ListDatas34[[#This Row],[10m - 20m]]</f>
        <v>7.575757575757577</v>
      </c>
      <c r="R24" s="12">
        <f>10/ListDatas34[[#This Row],[20-30m]]</f>
        <v>7.9365079365079376</v>
      </c>
      <c r="S24" s="12">
        <f>10/ListDatas34[[#This Row],[30-40m]]</f>
        <v>7.6335877862595387</v>
      </c>
      <c r="T24" s="12">
        <f>10/ListDatas34[[#This Row],[10m (s)]]</f>
        <v>5.6497175141242941</v>
      </c>
      <c r="U24" s="12">
        <f>ListDatas34[[#This Row],[m.s 10m]]*3.6</f>
        <v>20.33898305084746</v>
      </c>
      <c r="V24" s="12">
        <f>20/ListDatas34[[#This Row],[20m (s)]]</f>
        <v>6.4724919093851137</v>
      </c>
      <c r="W24" s="12">
        <f>ListDatas34[[#This Row],[m.s 20m]]*3.6</f>
        <v>23.300970873786408</v>
      </c>
      <c r="X24" s="12">
        <f>30/ListDatas34[[#This Row],[30m (s)]]</f>
        <v>6.8965517241379315</v>
      </c>
      <c r="Y24" s="12">
        <f>ListDatas34[[#This Row],[m.s 30m]]*3.6</f>
        <v>24.827586206896555</v>
      </c>
      <c r="Z24" s="12">
        <f>40/ListDatas34[[#This Row],[40m (s)]]</f>
        <v>7.0671378091872787</v>
      </c>
      <c r="AA24" s="12">
        <f>ListDatas34[[#This Row],[m.s 40m]]*3.6</f>
        <v>25.441696113074205</v>
      </c>
      <c r="AB24" s="11">
        <v>202</v>
      </c>
      <c r="AD24" s="3"/>
      <c r="AV24" s="3"/>
      <c r="AX24" s="3"/>
    </row>
    <row r="25" spans="1:52" x14ac:dyDescent="0.25">
      <c r="A25" s="11" t="s">
        <v>38</v>
      </c>
      <c r="B25" s="11" t="s">
        <v>296</v>
      </c>
      <c r="C25" s="11" t="s">
        <v>330</v>
      </c>
      <c r="D25" s="11">
        <v>69.900000000000006</v>
      </c>
      <c r="E25" s="11">
        <v>15.1</v>
      </c>
      <c r="F25" s="18">
        <v>800</v>
      </c>
      <c r="G25" s="11">
        <v>65</v>
      </c>
      <c r="H25" s="11">
        <v>90</v>
      </c>
      <c r="I25" s="11">
        <v>1.87</v>
      </c>
      <c r="J25" s="11">
        <v>3.25</v>
      </c>
      <c r="K25" s="11">
        <v>4.55</v>
      </c>
      <c r="L25" s="11">
        <v>5.98</v>
      </c>
      <c r="M25" s="11">
        <f>ListDatas34[[#This Row],[10m (s)]]</f>
        <v>1.87</v>
      </c>
      <c r="N25" s="11">
        <f>ListDatas34[[#This Row],[20m (s)]]-ListDatas34[[#This Row],[10m (s)]]</f>
        <v>1.38</v>
      </c>
      <c r="O25" s="36">
        <f>ListDatas34[[#This Row],[30m (s)]]-ListDatas34[[#This Row],[20m (s)]]</f>
        <v>1.2999999999999998</v>
      </c>
      <c r="P25" s="11">
        <f>ListDatas34[[#This Row],[40m (s)]]-ListDatas34[[#This Row],[30m (s)]]</f>
        <v>1.4300000000000006</v>
      </c>
      <c r="Q25" s="12">
        <f>10/ListDatas34[[#This Row],[10m - 20m]]</f>
        <v>7.2463768115942031</v>
      </c>
      <c r="R25" s="12">
        <f>10/ListDatas34[[#This Row],[20-30m]]</f>
        <v>7.6923076923076934</v>
      </c>
      <c r="S25" s="12">
        <f>10/ListDatas34[[#This Row],[30-40m]]</f>
        <v>6.9930069930069898</v>
      </c>
      <c r="T25" s="12">
        <f>10/ListDatas34[[#This Row],[10m (s)]]</f>
        <v>5.3475935828877006</v>
      </c>
      <c r="U25" s="12">
        <f>ListDatas34[[#This Row],[m.s 10m]]*3.6</f>
        <v>19.251336898395724</v>
      </c>
      <c r="V25" s="12">
        <f>20/ListDatas34[[#This Row],[20m (s)]]</f>
        <v>6.1538461538461542</v>
      </c>
      <c r="W25" s="12">
        <f>ListDatas34[[#This Row],[m.s 20m]]*3.6</f>
        <v>22.153846153846157</v>
      </c>
      <c r="X25" s="12">
        <f>30/ListDatas34[[#This Row],[30m (s)]]</f>
        <v>6.593406593406594</v>
      </c>
      <c r="Y25" s="12">
        <f>ListDatas34[[#This Row],[m.s 30m]]*3.6</f>
        <v>23.736263736263737</v>
      </c>
      <c r="Z25" s="12">
        <f>40/ListDatas34[[#This Row],[40m (s)]]</f>
        <v>6.6889632107023402</v>
      </c>
      <c r="AA25" s="12">
        <f>ListDatas34[[#This Row],[m.s 40m]]*3.6</f>
        <v>24.080267558528426</v>
      </c>
      <c r="AB25" s="11">
        <v>207</v>
      </c>
      <c r="AD25" s="3"/>
      <c r="AV25" s="3"/>
      <c r="AX25" s="3"/>
    </row>
    <row r="26" spans="1:52" x14ac:dyDescent="0.25">
      <c r="A26" s="11" t="s">
        <v>53</v>
      </c>
      <c r="B26" s="11" t="s">
        <v>49</v>
      </c>
      <c r="C26" s="11" t="s">
        <v>330</v>
      </c>
      <c r="D26" s="11"/>
      <c r="E26" s="11">
        <v>14.6</v>
      </c>
      <c r="F26" s="18">
        <v>680</v>
      </c>
      <c r="G26" s="11">
        <v>50</v>
      </c>
      <c r="H26" s="11"/>
      <c r="I26" s="11"/>
      <c r="J26" s="11"/>
      <c r="K26" s="11"/>
      <c r="L26" s="11"/>
      <c r="M26" s="11">
        <f>ListDatas34[[#This Row],[10m (s)]]</f>
        <v>0</v>
      </c>
      <c r="N26" s="11">
        <f>ListDatas34[[#This Row],[20m (s)]]-ListDatas34[[#This Row],[10m (s)]]</f>
        <v>0</v>
      </c>
      <c r="O26" s="11">
        <f>ListDatas34[[#This Row],[30m (s)]]-ListDatas34[[#This Row],[20m (s)]]</f>
        <v>0</v>
      </c>
      <c r="P26" s="11">
        <f>ListDatas34[[#This Row],[40m (s)]]-ListDatas34[[#This Row],[30m (s)]]</f>
        <v>0</v>
      </c>
      <c r="Q26" s="12" t="e">
        <f>10/ListDatas34[[#This Row],[10m - 20m]]</f>
        <v>#DIV/0!</v>
      </c>
      <c r="R26" s="12" t="e">
        <f>10/ListDatas34[[#This Row],[20-30m]]</f>
        <v>#DIV/0!</v>
      </c>
      <c r="S26" s="12" t="e">
        <f>10/ListDatas34[[#This Row],[30-40m]]</f>
        <v>#DIV/0!</v>
      </c>
      <c r="T26" s="12" t="e">
        <f>10/ListDatas34[[#This Row],[10m (s)]]</f>
        <v>#DIV/0!</v>
      </c>
      <c r="U26" s="12" t="e">
        <f>ListDatas34[[#This Row],[m.s 10m]]*3.6</f>
        <v>#DIV/0!</v>
      </c>
      <c r="V26" s="12" t="e">
        <f>20/ListDatas34[[#This Row],[20m (s)]]</f>
        <v>#DIV/0!</v>
      </c>
      <c r="W26" s="12" t="e">
        <f>ListDatas34[[#This Row],[m.s 20m]]*3.6</f>
        <v>#DIV/0!</v>
      </c>
      <c r="X26" s="12" t="e">
        <f>30/ListDatas34[[#This Row],[30m (s)]]</f>
        <v>#DIV/0!</v>
      </c>
      <c r="Y26" s="12" t="e">
        <f>ListDatas34[[#This Row],[m.s 30m]]*3.6</f>
        <v>#DIV/0!</v>
      </c>
      <c r="Z26" s="12" t="e">
        <f>40/ListDatas34[[#This Row],[40m (s)]]</f>
        <v>#DIV/0!</v>
      </c>
      <c r="AA26" s="12" t="e">
        <f>ListDatas34[[#This Row],[m.s 40m]]*3.6</f>
        <v>#DIV/0!</v>
      </c>
      <c r="AB26" s="11"/>
      <c r="AV26" s="3"/>
      <c r="AX26" s="3"/>
    </row>
    <row r="27" spans="1:52" x14ac:dyDescent="0.25">
      <c r="A27" s="11" t="s">
        <v>25</v>
      </c>
      <c r="B27" s="11" t="s">
        <v>295</v>
      </c>
      <c r="C27" s="11" t="s">
        <v>330</v>
      </c>
      <c r="D27" s="11">
        <v>58.6</v>
      </c>
      <c r="E27" s="11"/>
      <c r="F27" s="18"/>
      <c r="G27" s="11">
        <v>52.5</v>
      </c>
      <c r="H27" s="11"/>
      <c r="I27" s="11">
        <v>1.86</v>
      </c>
      <c r="J27" s="11">
        <v>3.23</v>
      </c>
      <c r="K27" s="11">
        <v>4.55</v>
      </c>
      <c r="L27" s="11">
        <v>5.82</v>
      </c>
      <c r="M27" s="11">
        <f>ListDatas34[[#This Row],[10m (s)]]</f>
        <v>1.86</v>
      </c>
      <c r="N27" s="11">
        <f>ListDatas34[[#This Row],[20m (s)]]-ListDatas34[[#This Row],[10m (s)]]</f>
        <v>1.3699999999999999</v>
      </c>
      <c r="O27" s="36">
        <f>ListDatas34[[#This Row],[30m (s)]]-ListDatas34[[#This Row],[20m (s)]]</f>
        <v>1.3199999999999998</v>
      </c>
      <c r="P27" s="11">
        <f>ListDatas34[[#This Row],[40m (s)]]-ListDatas34[[#This Row],[30m (s)]]</f>
        <v>1.2700000000000005</v>
      </c>
      <c r="Q27" s="12">
        <f>10/ListDatas34[[#This Row],[10m - 20m]]</f>
        <v>7.2992700729927016</v>
      </c>
      <c r="R27" s="12">
        <f>10/ListDatas34[[#This Row],[20-30m]]</f>
        <v>7.575757575757577</v>
      </c>
      <c r="S27" s="12">
        <f>10/ListDatas34[[#This Row],[30-40m]]</f>
        <v>7.8740157480314936</v>
      </c>
      <c r="T27" s="12">
        <f>10/ListDatas34[[#This Row],[10m (s)]]</f>
        <v>5.376344086021505</v>
      </c>
      <c r="U27" s="12">
        <f>ListDatas34[[#This Row],[m.s 10m]]*3.6</f>
        <v>19.35483870967742</v>
      </c>
      <c r="V27" s="12">
        <f>20/ListDatas34[[#This Row],[20m (s)]]</f>
        <v>6.1919504643962853</v>
      </c>
      <c r="W27" s="12">
        <f>ListDatas34[[#This Row],[m.s 20m]]*3.6</f>
        <v>22.291021671826627</v>
      </c>
      <c r="X27" s="12">
        <f>30/ListDatas34[[#This Row],[30m (s)]]</f>
        <v>6.593406593406594</v>
      </c>
      <c r="Y27" s="12">
        <f>ListDatas34[[#This Row],[m.s 30m]]*3.6</f>
        <v>23.736263736263737</v>
      </c>
      <c r="Z27" s="12">
        <f>40/ListDatas34[[#This Row],[40m (s)]]</f>
        <v>6.8728522336769755</v>
      </c>
      <c r="AA27" s="12">
        <f>ListDatas34[[#This Row],[m.s 40m]]*3.6</f>
        <v>24.742268041237111</v>
      </c>
      <c r="AB27" s="11"/>
      <c r="AX27" s="4"/>
      <c r="AZ27" s="3"/>
    </row>
    <row r="28" spans="1:52" x14ac:dyDescent="0.25">
      <c r="A28" s="11" t="s">
        <v>51</v>
      </c>
      <c r="B28" s="11" t="s">
        <v>29</v>
      </c>
      <c r="C28" s="11" t="s">
        <v>330</v>
      </c>
      <c r="D28" s="11">
        <v>64.7</v>
      </c>
      <c r="E28" s="11">
        <v>15.5</v>
      </c>
      <c r="F28" s="18">
        <v>960</v>
      </c>
      <c r="G28" s="11">
        <v>53</v>
      </c>
      <c r="H28" s="11">
        <v>85</v>
      </c>
      <c r="I28" s="11">
        <v>1.89</v>
      </c>
      <c r="J28" s="11">
        <v>3.35</v>
      </c>
      <c r="K28" s="11">
        <v>4.71</v>
      </c>
      <c r="L28" s="11">
        <v>6.22</v>
      </c>
      <c r="M28" s="11">
        <f>ListDatas34[[#This Row],[10m (s)]]</f>
        <v>1.89</v>
      </c>
      <c r="N28" s="11">
        <f>ListDatas34[[#This Row],[20m (s)]]-ListDatas34[[#This Row],[10m (s)]]</f>
        <v>1.4600000000000002</v>
      </c>
      <c r="O28" s="36">
        <f>ListDatas34[[#This Row],[30m (s)]]-ListDatas34[[#This Row],[20m (s)]]</f>
        <v>1.3599999999999999</v>
      </c>
      <c r="P28" s="11">
        <f>ListDatas34[[#This Row],[40m (s)]]-ListDatas34[[#This Row],[30m (s)]]</f>
        <v>1.5099999999999998</v>
      </c>
      <c r="Q28" s="12">
        <f>10/ListDatas34[[#This Row],[10m - 20m]]</f>
        <v>6.8493150684931496</v>
      </c>
      <c r="R28" s="12">
        <f>10/ListDatas34[[#This Row],[20-30m]]</f>
        <v>7.3529411764705888</v>
      </c>
      <c r="S28" s="12">
        <f>10/ListDatas34[[#This Row],[30-40m]]</f>
        <v>6.6225165562913917</v>
      </c>
      <c r="T28" s="12">
        <f>10/ListDatas34[[#This Row],[10m (s)]]</f>
        <v>5.2910052910052912</v>
      </c>
      <c r="U28" s="12">
        <f>ListDatas34[[#This Row],[m.s 10m]]*3.6</f>
        <v>19.047619047619047</v>
      </c>
      <c r="V28" s="12">
        <f>20/ListDatas34[[#This Row],[20m (s)]]</f>
        <v>5.9701492537313428</v>
      </c>
      <c r="W28" s="12">
        <f>ListDatas34[[#This Row],[m.s 20m]]*3.6</f>
        <v>21.492537313432834</v>
      </c>
      <c r="X28" s="12">
        <f>30/ListDatas34[[#This Row],[30m (s)]]</f>
        <v>6.369426751592357</v>
      </c>
      <c r="Y28" s="12">
        <f>ListDatas34[[#This Row],[m.s 30m]]*3.6</f>
        <v>22.929936305732486</v>
      </c>
      <c r="Z28" s="12">
        <f>40/ListDatas34[[#This Row],[40m (s)]]</f>
        <v>6.4308681672025729</v>
      </c>
      <c r="AA28" s="12">
        <f>ListDatas34[[#This Row],[m.s 40m]]*3.6</f>
        <v>23.151125401929264</v>
      </c>
      <c r="AB28" s="11">
        <v>185</v>
      </c>
    </row>
    <row r="29" spans="1:52" x14ac:dyDescent="0.25">
      <c r="A29" s="11" t="s">
        <v>32</v>
      </c>
      <c r="B29" s="11" t="s">
        <v>296</v>
      </c>
      <c r="C29" s="11" t="s">
        <v>330</v>
      </c>
      <c r="D29" s="11"/>
      <c r="E29" s="11"/>
      <c r="F29" s="18"/>
      <c r="G29" s="11"/>
      <c r="H29" s="11"/>
      <c r="I29" s="11">
        <v>1.74</v>
      </c>
      <c r="J29" s="11">
        <v>3.06</v>
      </c>
      <c r="K29" s="11">
        <v>4.33</v>
      </c>
      <c r="L29" s="11">
        <v>5.74</v>
      </c>
      <c r="M29" s="11">
        <f>ListDatas34[[#This Row],[10m (s)]]</f>
        <v>1.74</v>
      </c>
      <c r="N29" s="11">
        <f>ListDatas34[[#This Row],[20m (s)]]-ListDatas34[[#This Row],[10m (s)]]</f>
        <v>1.32</v>
      </c>
      <c r="O29" s="36">
        <f>ListDatas34[[#This Row],[30m (s)]]-ListDatas34[[#This Row],[20m (s)]]</f>
        <v>1.27</v>
      </c>
      <c r="P29" s="11">
        <f>ListDatas34[[#This Row],[40m (s)]]-ListDatas34[[#This Row],[30m (s)]]</f>
        <v>1.4100000000000001</v>
      </c>
      <c r="Q29" s="12">
        <f>10/ListDatas34[[#This Row],[10m - 20m]]</f>
        <v>7.5757575757575752</v>
      </c>
      <c r="R29" s="12">
        <f>10/ListDatas34[[#This Row],[20-30m]]</f>
        <v>7.8740157480314963</v>
      </c>
      <c r="S29" s="12">
        <f>10/ListDatas34[[#This Row],[30-40m]]</f>
        <v>7.0921985815602833</v>
      </c>
      <c r="T29" s="12">
        <f>10/ListDatas34[[#This Row],[10m (s)]]</f>
        <v>5.7471264367816088</v>
      </c>
      <c r="U29" s="12">
        <f>ListDatas34[[#This Row],[m.s 10m]]*3.6</f>
        <v>20.689655172413794</v>
      </c>
      <c r="V29" s="12">
        <f>20/ListDatas34[[#This Row],[20m (s)]]</f>
        <v>6.5359477124183005</v>
      </c>
      <c r="W29" s="12">
        <f>ListDatas34[[#This Row],[m.s 20m]]*3.6</f>
        <v>23.529411764705884</v>
      </c>
      <c r="X29" s="12">
        <f>30/ListDatas34[[#This Row],[30m (s)]]</f>
        <v>6.9284064665127021</v>
      </c>
      <c r="Y29" s="12">
        <f>ListDatas34[[#This Row],[m.s 30m]]*3.6</f>
        <v>24.942263279445729</v>
      </c>
      <c r="Z29" s="12">
        <f>40/ListDatas34[[#This Row],[40m (s)]]</f>
        <v>6.968641114982578</v>
      </c>
      <c r="AA29" s="12">
        <f>ListDatas34[[#This Row],[m.s 40m]]*3.6</f>
        <v>25.087108013937282</v>
      </c>
      <c r="AB29" s="11">
        <v>210</v>
      </c>
      <c r="AC29" s="1"/>
      <c r="AD29" s="8"/>
      <c r="AE29" s="1"/>
      <c r="AF29" s="1"/>
    </row>
    <row r="30" spans="1:52" x14ac:dyDescent="0.25">
      <c r="A30" s="13" t="s">
        <v>64</v>
      </c>
      <c r="B30" s="11" t="s">
        <v>31</v>
      </c>
      <c r="C30" s="11" t="s">
        <v>330</v>
      </c>
      <c r="D30" s="11"/>
      <c r="E30" s="11"/>
      <c r="F30" s="18">
        <v>240</v>
      </c>
      <c r="G30" s="11"/>
      <c r="H30" s="11"/>
      <c r="I30" s="11">
        <v>2</v>
      </c>
      <c r="J30" s="11">
        <v>3.47</v>
      </c>
      <c r="K30" s="11">
        <v>4.91</v>
      </c>
      <c r="L30" s="11">
        <v>6.35</v>
      </c>
      <c r="M30" s="11">
        <f>ListDatas34[[#This Row],[10m (s)]]</f>
        <v>2</v>
      </c>
      <c r="N30" s="11">
        <f>ListDatas34[[#This Row],[20m (s)]]-ListDatas34[[#This Row],[10m (s)]]</f>
        <v>1.4700000000000002</v>
      </c>
      <c r="O30" s="36">
        <f>ListDatas34[[#This Row],[30m (s)]]-ListDatas34[[#This Row],[20m (s)]]</f>
        <v>1.44</v>
      </c>
      <c r="P30" s="11">
        <f>ListDatas34[[#This Row],[40m (s)]]-ListDatas34[[#This Row],[30m (s)]]</f>
        <v>1.4399999999999995</v>
      </c>
      <c r="Q30" s="12">
        <f>10/ListDatas34[[#This Row],[10m - 20m]]</f>
        <v>6.8027210884353728</v>
      </c>
      <c r="R30" s="12">
        <f>10/ListDatas34[[#This Row],[20-30m]]</f>
        <v>6.9444444444444446</v>
      </c>
      <c r="S30" s="12">
        <f>10/ListDatas34[[#This Row],[30-40m]]</f>
        <v>6.9444444444444464</v>
      </c>
      <c r="T30" s="12">
        <f>10/ListDatas34[[#This Row],[10m (s)]]</f>
        <v>5</v>
      </c>
      <c r="U30" s="12">
        <f>ListDatas34[[#This Row],[m.s 10m]]*3.6</f>
        <v>18</v>
      </c>
      <c r="V30" s="12">
        <f>20/ListDatas34[[#This Row],[20m (s)]]</f>
        <v>5.7636887608069163</v>
      </c>
      <c r="W30" s="12">
        <f>ListDatas34[[#This Row],[m.s 20m]]*3.6</f>
        <v>20.749279538904901</v>
      </c>
      <c r="X30" s="12">
        <f>30/ListDatas34[[#This Row],[30m (s)]]</f>
        <v>6.1099796334012222</v>
      </c>
      <c r="Y30" s="12">
        <f>ListDatas34[[#This Row],[m.s 30m]]*3.6</f>
        <v>21.995926680244402</v>
      </c>
      <c r="Z30" s="12">
        <f>40/ListDatas34[[#This Row],[40m (s)]]</f>
        <v>6.2992125984251972</v>
      </c>
      <c r="AA30" s="12">
        <f>ListDatas34[[#This Row],[m.s 40m]]*3.6</f>
        <v>22.677165354330711</v>
      </c>
      <c r="AB30" s="11"/>
    </row>
    <row r="31" spans="1:52" x14ac:dyDescent="0.25">
      <c r="A31" s="11" t="s">
        <v>39</v>
      </c>
      <c r="B31" s="11" t="s">
        <v>29</v>
      </c>
      <c r="C31" s="11" t="s">
        <v>330</v>
      </c>
      <c r="D31" s="11"/>
      <c r="E31" s="11">
        <v>15.5</v>
      </c>
      <c r="F31" s="18">
        <v>960</v>
      </c>
      <c r="G31" s="11">
        <v>45</v>
      </c>
      <c r="H31" s="11">
        <v>60</v>
      </c>
      <c r="I31" s="11">
        <v>1.79</v>
      </c>
      <c r="J31" s="11">
        <v>3.14</v>
      </c>
      <c r="K31" s="11">
        <v>4.41</v>
      </c>
      <c r="L31" s="11">
        <v>5.82</v>
      </c>
      <c r="M31" s="11">
        <f>ListDatas34[[#This Row],[10m (s)]]</f>
        <v>1.79</v>
      </c>
      <c r="N31" s="11">
        <f>ListDatas34[[#This Row],[20m (s)]]-ListDatas34[[#This Row],[10m (s)]]</f>
        <v>1.35</v>
      </c>
      <c r="O31" s="36">
        <f>ListDatas34[[#This Row],[30m (s)]]-ListDatas34[[#This Row],[20m (s)]]</f>
        <v>1.27</v>
      </c>
      <c r="P31" s="11">
        <f>ListDatas34[[#This Row],[40m (s)]]-ListDatas34[[#This Row],[30m (s)]]</f>
        <v>1.4100000000000001</v>
      </c>
      <c r="Q31" s="12">
        <f>10/ListDatas34[[#This Row],[10m - 20m]]</f>
        <v>7.4074074074074066</v>
      </c>
      <c r="R31" s="12">
        <f>10/ListDatas34[[#This Row],[20-30m]]</f>
        <v>7.8740157480314963</v>
      </c>
      <c r="S31" s="12">
        <f>10/ListDatas34[[#This Row],[30-40m]]</f>
        <v>7.0921985815602833</v>
      </c>
      <c r="T31" s="12">
        <f>10/ListDatas34[[#This Row],[10m (s)]]</f>
        <v>5.5865921787709496</v>
      </c>
      <c r="U31" s="12">
        <f>ListDatas34[[#This Row],[m.s 10m]]*3.6</f>
        <v>20.11173184357542</v>
      </c>
      <c r="V31" s="12">
        <f>20/ListDatas34[[#This Row],[20m (s)]]</f>
        <v>6.3694267515923562</v>
      </c>
      <c r="W31" s="12">
        <f>ListDatas34[[#This Row],[m.s 20m]]*3.6</f>
        <v>22.929936305732483</v>
      </c>
      <c r="X31" s="12">
        <f>30/ListDatas34[[#This Row],[30m (s)]]</f>
        <v>6.8027210884353737</v>
      </c>
      <c r="Y31" s="12">
        <f>ListDatas34[[#This Row],[m.s 30m]]*3.6</f>
        <v>24.489795918367346</v>
      </c>
      <c r="Z31" s="12">
        <f>40/ListDatas34[[#This Row],[40m (s)]]</f>
        <v>6.8728522336769755</v>
      </c>
      <c r="AA31" s="12">
        <f>ListDatas34[[#This Row],[m.s 40m]]*3.6</f>
        <v>24.742268041237111</v>
      </c>
      <c r="AB31" s="11">
        <v>185</v>
      </c>
    </row>
    <row r="32" spans="1:52" x14ac:dyDescent="0.25">
      <c r="A32" s="11" t="s">
        <v>30</v>
      </c>
      <c r="B32" s="11" t="s">
        <v>31</v>
      </c>
      <c r="C32" s="11" t="s">
        <v>330</v>
      </c>
      <c r="D32" s="11">
        <v>68.8</v>
      </c>
      <c r="E32" s="11">
        <v>15.1</v>
      </c>
      <c r="F32" s="18">
        <v>800</v>
      </c>
      <c r="G32" s="11">
        <v>60</v>
      </c>
      <c r="H32" s="11">
        <v>100</v>
      </c>
      <c r="I32" s="11">
        <v>1.86</v>
      </c>
      <c r="J32" s="11">
        <v>3.18</v>
      </c>
      <c r="K32" s="11">
        <v>4.45</v>
      </c>
      <c r="L32" s="11">
        <v>5.8</v>
      </c>
      <c r="M32" s="11">
        <f>ListDatas34[[#This Row],[10m (s)]]</f>
        <v>1.86</v>
      </c>
      <c r="N32" s="11">
        <f>ListDatas34[[#This Row],[20m (s)]]-ListDatas34[[#This Row],[10m (s)]]</f>
        <v>1.32</v>
      </c>
      <c r="O32" s="36">
        <f>ListDatas34[[#This Row],[30m (s)]]-ListDatas34[[#This Row],[20m (s)]]</f>
        <v>1.27</v>
      </c>
      <c r="P32" s="11">
        <f>ListDatas34[[#This Row],[40m (s)]]-ListDatas34[[#This Row],[30m (s)]]</f>
        <v>1.3499999999999996</v>
      </c>
      <c r="Q32" s="12">
        <f>10/ListDatas34[[#This Row],[10m - 20m]]</f>
        <v>7.5757575757575752</v>
      </c>
      <c r="R32" s="12">
        <f>10/ListDatas34[[#This Row],[20-30m]]</f>
        <v>7.8740157480314963</v>
      </c>
      <c r="S32" s="12">
        <f>10/ListDatas34[[#This Row],[30-40m]]</f>
        <v>7.4074074074074092</v>
      </c>
      <c r="T32" s="12">
        <f>10/ListDatas34[[#This Row],[10m (s)]]</f>
        <v>5.376344086021505</v>
      </c>
      <c r="U32" s="12">
        <f>ListDatas34[[#This Row],[m.s 10m]]*3.6</f>
        <v>19.35483870967742</v>
      </c>
      <c r="V32" s="12">
        <f>20/ListDatas34[[#This Row],[20m (s)]]</f>
        <v>6.2893081761006284</v>
      </c>
      <c r="W32" s="12">
        <f>ListDatas34[[#This Row],[m.s 20m]]*3.6</f>
        <v>22.641509433962263</v>
      </c>
      <c r="X32" s="12">
        <f>30/ListDatas34[[#This Row],[30m (s)]]</f>
        <v>6.7415730337078648</v>
      </c>
      <c r="Y32" s="12">
        <f>ListDatas34[[#This Row],[m.s 30m]]*3.6</f>
        <v>24.269662921348313</v>
      </c>
      <c r="Z32" s="12">
        <f>40/ListDatas34[[#This Row],[40m (s)]]</f>
        <v>6.8965517241379315</v>
      </c>
      <c r="AA32" s="12">
        <f>ListDatas34[[#This Row],[m.s 40m]]*3.6</f>
        <v>24.827586206896555</v>
      </c>
      <c r="AB32" s="11">
        <v>200</v>
      </c>
    </row>
    <row r="33" spans="1:28" x14ac:dyDescent="0.25">
      <c r="A33" s="11" t="s">
        <v>33</v>
      </c>
      <c r="B33" s="11" t="s">
        <v>296</v>
      </c>
      <c r="C33" s="11" t="s">
        <v>330</v>
      </c>
      <c r="D33" s="11">
        <v>66.5</v>
      </c>
      <c r="E33" s="11">
        <v>15.5</v>
      </c>
      <c r="F33" s="18">
        <v>960</v>
      </c>
      <c r="G33" s="11"/>
      <c r="H33" s="11">
        <v>80</v>
      </c>
      <c r="I33" s="11">
        <v>1.97</v>
      </c>
      <c r="J33" s="11">
        <v>3.41</v>
      </c>
      <c r="K33" s="11">
        <v>4.79</v>
      </c>
      <c r="L33" s="11">
        <v>6.13</v>
      </c>
      <c r="M33" s="11">
        <f>ListDatas34[[#This Row],[10m (s)]]</f>
        <v>1.97</v>
      </c>
      <c r="N33" s="11">
        <f>ListDatas34[[#This Row],[20m (s)]]-ListDatas34[[#This Row],[10m (s)]]</f>
        <v>1.4400000000000002</v>
      </c>
      <c r="O33" s="11">
        <f>ListDatas34[[#This Row],[30m (s)]]-ListDatas34[[#This Row],[20m (s)]]</f>
        <v>1.38</v>
      </c>
      <c r="P33" s="36">
        <f>ListDatas34[[#This Row],[40m (s)]]-ListDatas34[[#This Row],[30m (s)]]</f>
        <v>1.3399999999999999</v>
      </c>
      <c r="Q33" s="12">
        <f>10/ListDatas34[[#This Row],[10m - 20m]]</f>
        <v>6.9444444444444438</v>
      </c>
      <c r="R33" s="12">
        <f>10/ListDatas34[[#This Row],[20-30m]]</f>
        <v>7.2463768115942031</v>
      </c>
      <c r="S33" s="12">
        <f>10/ListDatas34[[#This Row],[30-40m]]</f>
        <v>7.4626865671641802</v>
      </c>
      <c r="T33" s="12">
        <f>10/ListDatas34[[#This Row],[10m (s)]]</f>
        <v>5.0761421319796955</v>
      </c>
      <c r="U33" s="12">
        <f>ListDatas34[[#This Row],[m.s 10m]]*3.6</f>
        <v>18.274111675126903</v>
      </c>
      <c r="V33" s="12">
        <f>20/ListDatas34[[#This Row],[20m (s)]]</f>
        <v>5.8651026392961878</v>
      </c>
      <c r="W33" s="12">
        <f>ListDatas34[[#This Row],[m.s 20m]]*3.6</f>
        <v>21.114369501466278</v>
      </c>
      <c r="X33" s="12">
        <f>30/ListDatas34[[#This Row],[30m (s)]]</f>
        <v>6.2630480167014611</v>
      </c>
      <c r="Y33" s="12">
        <f>ListDatas34[[#This Row],[m.s 30m]]*3.6</f>
        <v>22.546972860125262</v>
      </c>
      <c r="Z33" s="12">
        <f>40/ListDatas34[[#This Row],[40m (s)]]</f>
        <v>6.5252854812398047</v>
      </c>
      <c r="AA33" s="12">
        <f>ListDatas34[[#This Row],[m.s 40m]]*3.6</f>
        <v>23.491027732463298</v>
      </c>
      <c r="AB33" s="11"/>
    </row>
    <row r="34" spans="1:28" x14ac:dyDescent="0.25">
      <c r="A34" s="11" t="s">
        <v>40</v>
      </c>
      <c r="B34" s="11" t="s">
        <v>31</v>
      </c>
      <c r="C34" s="11" t="s">
        <v>330</v>
      </c>
      <c r="D34" s="11">
        <v>59.4</v>
      </c>
      <c r="E34" s="11"/>
      <c r="F34" s="18"/>
      <c r="G34" s="11">
        <v>42.5</v>
      </c>
      <c r="H34" s="11">
        <v>70</v>
      </c>
      <c r="I34" s="11">
        <v>1.79</v>
      </c>
      <c r="J34" s="11">
        <v>3.15</v>
      </c>
      <c r="K34" s="11">
        <v>4.43</v>
      </c>
      <c r="L34" s="11">
        <v>5.83</v>
      </c>
      <c r="M34" s="11">
        <f>ListDatas34[[#This Row],[10m (s)]]</f>
        <v>1.79</v>
      </c>
      <c r="N34" s="11">
        <f>ListDatas34[[#This Row],[20m (s)]]-ListDatas34[[#This Row],[10m (s)]]</f>
        <v>1.3599999999999999</v>
      </c>
      <c r="O34" s="36">
        <f>ListDatas34[[#This Row],[30m (s)]]-ListDatas34[[#This Row],[20m (s)]]</f>
        <v>1.2799999999999998</v>
      </c>
      <c r="P34" s="11">
        <f>ListDatas34[[#This Row],[40m (s)]]-ListDatas34[[#This Row],[30m (s)]]</f>
        <v>1.4000000000000004</v>
      </c>
      <c r="Q34" s="12">
        <f>10/ListDatas34[[#This Row],[10m - 20m]]</f>
        <v>7.3529411764705888</v>
      </c>
      <c r="R34" s="12">
        <f>10/ListDatas34[[#This Row],[20-30m]]</f>
        <v>7.8125000000000009</v>
      </c>
      <c r="S34" s="12">
        <f>10/ListDatas34[[#This Row],[30-40m]]</f>
        <v>7.1428571428571415</v>
      </c>
      <c r="T34" s="12">
        <f>10/ListDatas34[[#This Row],[10m (s)]]</f>
        <v>5.5865921787709496</v>
      </c>
      <c r="U34" s="12">
        <f>ListDatas34[[#This Row],[m.s 10m]]*3.6</f>
        <v>20.11173184357542</v>
      </c>
      <c r="V34" s="12">
        <f>20/ListDatas34[[#This Row],[20m (s)]]</f>
        <v>6.3492063492063497</v>
      </c>
      <c r="W34" s="12">
        <f>ListDatas34[[#This Row],[m.s 20m]]*3.6</f>
        <v>22.857142857142861</v>
      </c>
      <c r="X34" s="12">
        <f>30/ListDatas34[[#This Row],[30m (s)]]</f>
        <v>6.772009029345373</v>
      </c>
      <c r="Y34" s="12">
        <f>ListDatas34[[#This Row],[m.s 30m]]*3.6</f>
        <v>24.379232505643344</v>
      </c>
      <c r="Z34" s="12">
        <f>40/ListDatas34[[#This Row],[40m (s)]]</f>
        <v>6.8610634648370494</v>
      </c>
      <c r="AA34" s="12">
        <f>ListDatas34[[#This Row],[m.s 40m]]*3.6</f>
        <v>24.69982847341338</v>
      </c>
      <c r="AB34" s="11">
        <v>209</v>
      </c>
    </row>
    <row r="35" spans="1:28" x14ac:dyDescent="0.25">
      <c r="A35" s="11" t="s">
        <v>65</v>
      </c>
      <c r="B35" s="11" t="s">
        <v>29</v>
      </c>
      <c r="C35" s="11" t="s">
        <v>330</v>
      </c>
      <c r="D35" s="11">
        <v>68.05</v>
      </c>
      <c r="E35" s="11"/>
      <c r="F35" s="18"/>
      <c r="G35" s="11">
        <v>40</v>
      </c>
      <c r="H35" s="11">
        <v>80</v>
      </c>
      <c r="I35" s="11">
        <v>2.0699999999999998</v>
      </c>
      <c r="J35" s="11">
        <v>3.62</v>
      </c>
      <c r="K35" s="11">
        <v>5.17</v>
      </c>
      <c r="L35" s="11">
        <v>6.75</v>
      </c>
      <c r="M35" s="11">
        <f>ListDatas34[[#This Row],[10m (s)]]</f>
        <v>2.0699999999999998</v>
      </c>
      <c r="N35" s="36">
        <f>ListDatas34[[#This Row],[20m (s)]]-ListDatas34[[#This Row],[10m (s)]]</f>
        <v>1.5500000000000003</v>
      </c>
      <c r="O35" s="36">
        <f>ListDatas34[[#This Row],[30m (s)]]-ListDatas34[[#This Row],[20m (s)]]</f>
        <v>1.5499999999999998</v>
      </c>
      <c r="P35" s="11">
        <f>ListDatas34[[#This Row],[40m (s)]]-ListDatas34[[#This Row],[30m (s)]]</f>
        <v>1.58</v>
      </c>
      <c r="Q35" s="12">
        <f>10/ListDatas34[[#This Row],[10m - 20m]]</f>
        <v>6.4516129032258052</v>
      </c>
      <c r="R35" s="12">
        <f>10/ListDatas34[[#This Row],[20-30m]]</f>
        <v>6.4516129032258069</v>
      </c>
      <c r="S35" s="12">
        <f>10/ListDatas34[[#This Row],[30-40m]]</f>
        <v>6.3291139240506329</v>
      </c>
      <c r="T35" s="12">
        <f>10/ListDatas34[[#This Row],[10m (s)]]</f>
        <v>4.8309178743961354</v>
      </c>
      <c r="U35" s="12">
        <f>ListDatas34[[#This Row],[m.s 10m]]*3.6</f>
        <v>17.39130434782609</v>
      </c>
      <c r="V35" s="12">
        <f>20/ListDatas34[[#This Row],[20m (s)]]</f>
        <v>5.5248618784530388</v>
      </c>
      <c r="W35" s="12">
        <f>ListDatas34[[#This Row],[m.s 20m]]*3.6</f>
        <v>19.88950276243094</v>
      </c>
      <c r="X35" s="12">
        <f>30/ListDatas34[[#This Row],[30m (s)]]</f>
        <v>5.8027079303675047</v>
      </c>
      <c r="Y35" s="12">
        <f>ListDatas34[[#This Row],[m.s 30m]]*3.6</f>
        <v>20.889748549323016</v>
      </c>
      <c r="Z35" s="12">
        <f>40/ListDatas34[[#This Row],[40m (s)]]</f>
        <v>5.9259259259259256</v>
      </c>
      <c r="AA35" s="12">
        <f>ListDatas34[[#This Row],[m.s 40m]]*3.6</f>
        <v>21.333333333333332</v>
      </c>
      <c r="AB35" s="11"/>
    </row>
    <row r="36" spans="1:28" x14ac:dyDescent="0.25">
      <c r="A36" s="11" t="s">
        <v>54</v>
      </c>
      <c r="B36" s="11" t="s">
        <v>45</v>
      </c>
      <c r="C36" s="11" t="s">
        <v>330</v>
      </c>
      <c r="D36" s="11">
        <v>68.150000000000006</v>
      </c>
      <c r="E36" s="11">
        <v>15.5</v>
      </c>
      <c r="F36" s="18">
        <v>960</v>
      </c>
      <c r="G36" s="11">
        <v>60</v>
      </c>
      <c r="H36" s="11">
        <v>90</v>
      </c>
      <c r="I36" s="11">
        <v>1.86</v>
      </c>
      <c r="J36" s="11">
        <v>3.26</v>
      </c>
      <c r="K36" s="11">
        <v>4.59</v>
      </c>
      <c r="L36" s="11">
        <v>6.02</v>
      </c>
      <c r="M36" s="11">
        <f>ListDatas34[[#This Row],[10m (s)]]</f>
        <v>1.86</v>
      </c>
      <c r="N36" s="11">
        <f>ListDatas34[[#This Row],[20m (s)]]-ListDatas34[[#This Row],[10m (s)]]</f>
        <v>1.3999999999999997</v>
      </c>
      <c r="O36" s="36">
        <f>ListDatas34[[#This Row],[30m (s)]]-ListDatas34[[#This Row],[20m (s)]]</f>
        <v>1.33</v>
      </c>
      <c r="P36" s="11">
        <f>ListDatas34[[#This Row],[40m (s)]]-ListDatas34[[#This Row],[30m (s)]]</f>
        <v>1.4299999999999997</v>
      </c>
      <c r="Q36" s="12">
        <f>10/ListDatas34[[#This Row],[10m - 20m]]</f>
        <v>7.1428571428571441</v>
      </c>
      <c r="R36" s="12">
        <f>10/ListDatas34[[#This Row],[20-30m]]</f>
        <v>7.518796992481203</v>
      </c>
      <c r="S36" s="12">
        <f>10/ListDatas34[[#This Row],[30-40m]]</f>
        <v>6.9930069930069942</v>
      </c>
      <c r="T36" s="12">
        <f>10/ListDatas34[[#This Row],[10m (s)]]</f>
        <v>5.376344086021505</v>
      </c>
      <c r="U36" s="12">
        <f>ListDatas34[[#This Row],[m.s 10m]]*3.6</f>
        <v>19.35483870967742</v>
      </c>
      <c r="V36" s="12">
        <f>20/ListDatas34[[#This Row],[20m (s)]]</f>
        <v>6.1349693251533743</v>
      </c>
      <c r="W36" s="12">
        <f>ListDatas34[[#This Row],[m.s 20m]]*3.6</f>
        <v>22.085889570552148</v>
      </c>
      <c r="X36" s="12">
        <f>30/ListDatas34[[#This Row],[30m (s)]]</f>
        <v>6.5359477124183005</v>
      </c>
      <c r="Y36" s="12">
        <f>ListDatas34[[#This Row],[m.s 30m]]*3.6</f>
        <v>23.529411764705884</v>
      </c>
      <c r="Z36" s="12">
        <f>40/ListDatas34[[#This Row],[40m (s)]]</f>
        <v>6.6445182724252501</v>
      </c>
      <c r="AA36" s="12">
        <f>ListDatas34[[#This Row],[m.s 40m]]*3.6</f>
        <v>23.920265780730901</v>
      </c>
      <c r="AB36" s="11">
        <v>189</v>
      </c>
    </row>
    <row r="38" spans="1:28" x14ac:dyDescent="0.25">
      <c r="B38" s="7"/>
      <c r="C38" t="s">
        <v>297</v>
      </c>
    </row>
    <row r="39" spans="1:28" x14ac:dyDescent="0.25">
      <c r="B39" s="14"/>
      <c r="C39" t="s">
        <v>298</v>
      </c>
    </row>
    <row r="43" spans="1:28" x14ac:dyDescent="0.25">
      <c r="J43" s="29"/>
    </row>
    <row r="44" spans="1:28" x14ac:dyDescent="0.25">
      <c r="J44" s="11"/>
    </row>
    <row r="45" spans="1:28" x14ac:dyDescent="0.25">
      <c r="J45" s="11"/>
    </row>
    <row r="46" spans="1:28" x14ac:dyDescent="0.25">
      <c r="J46" s="11"/>
    </row>
    <row r="47" spans="1:28" x14ac:dyDescent="0.25">
      <c r="J47" s="11"/>
    </row>
    <row r="48" spans="1:28" x14ac:dyDescent="0.25">
      <c r="J48" s="11"/>
    </row>
    <row r="49" spans="10:10" x14ac:dyDescent="0.25">
      <c r="J49" s="11"/>
    </row>
    <row r="50" spans="10:10" x14ac:dyDescent="0.25">
      <c r="J50" s="11"/>
    </row>
    <row r="51" spans="10:10" x14ac:dyDescent="0.25">
      <c r="J51" s="11"/>
    </row>
    <row r="52" spans="10:10" x14ac:dyDescent="0.25">
      <c r="J52" s="11"/>
    </row>
    <row r="53" spans="10:10" x14ac:dyDescent="0.25">
      <c r="J53" s="11"/>
    </row>
    <row r="54" spans="10:10" x14ac:dyDescent="0.25">
      <c r="J54" s="11"/>
    </row>
    <row r="55" spans="10:10" x14ac:dyDescent="0.25">
      <c r="J55" s="11"/>
    </row>
    <row r="56" spans="10:10" x14ac:dyDescent="0.25">
      <c r="J56" s="11"/>
    </row>
    <row r="57" spans="10:10" x14ac:dyDescent="0.25">
      <c r="J57" s="11"/>
    </row>
    <row r="58" spans="10:10" x14ac:dyDescent="0.25">
      <c r="J58" s="11"/>
    </row>
    <row r="59" spans="10:10" x14ac:dyDescent="0.25">
      <c r="J59" s="11"/>
    </row>
    <row r="60" spans="10:10" x14ac:dyDescent="0.25">
      <c r="J60" s="11"/>
    </row>
    <row r="61" spans="10:10" x14ac:dyDescent="0.25">
      <c r="J61" s="11"/>
    </row>
    <row r="62" spans="10:10" x14ac:dyDescent="0.25">
      <c r="J62" s="11"/>
    </row>
    <row r="63" spans="10:10" x14ac:dyDescent="0.25">
      <c r="J63" s="11"/>
    </row>
    <row r="64" spans="10:10" x14ac:dyDescent="0.25">
      <c r="J64" s="11"/>
    </row>
    <row r="65" spans="10:10" x14ac:dyDescent="0.25">
      <c r="J65" s="11"/>
    </row>
    <row r="66" spans="10:10" x14ac:dyDescent="0.25">
      <c r="J66" s="11"/>
    </row>
    <row r="67" spans="10:10" x14ac:dyDescent="0.25">
      <c r="J67" s="11"/>
    </row>
    <row r="68" spans="10:10" x14ac:dyDescent="0.25">
      <c r="J68" s="11"/>
    </row>
    <row r="69" spans="10:10" x14ac:dyDescent="0.25">
      <c r="J69" s="11"/>
    </row>
    <row r="70" spans="10:10" x14ac:dyDescent="0.25">
      <c r="J70" s="11"/>
    </row>
    <row r="71" spans="10:10" x14ac:dyDescent="0.25">
      <c r="J71" s="11"/>
    </row>
    <row r="72" spans="10:10" x14ac:dyDescent="0.25">
      <c r="J72" s="11"/>
    </row>
    <row r="73" spans="10:10" x14ac:dyDescent="0.25">
      <c r="J73" s="11"/>
    </row>
    <row r="74" spans="10:10" x14ac:dyDescent="0.25">
      <c r="J74" s="11"/>
    </row>
    <row r="75" spans="10:10" x14ac:dyDescent="0.25">
      <c r="J75" s="11"/>
    </row>
    <row r="76" spans="10:10" x14ac:dyDescent="0.25">
      <c r="J76" s="11"/>
    </row>
    <row r="77" spans="10:10" x14ac:dyDescent="0.25">
      <c r="J77" s="11"/>
    </row>
    <row r="78" spans="10:10" x14ac:dyDescent="0.25">
      <c r="J78" s="11"/>
    </row>
    <row r="79" spans="10:10" x14ac:dyDescent="0.25">
      <c r="J79" s="11"/>
    </row>
  </sheetData>
  <phoneticPr fontId="3" type="noConversion"/>
  <dataValidations count="2">
    <dataValidation type="list" allowBlank="1" showInputMessage="1" showErrorMessage="1" sqref="B2:B36" xr:uid="{B9BD3E67-8D04-4709-8407-2EB1C5CE6D15}">
      <formula1>ListPoste</formula1>
    </dataValidation>
    <dataValidation type="list" allowBlank="1" showInputMessage="1" showErrorMessage="1" sqref="AD1" xr:uid="{CC5E0EFA-5111-47A7-AC61-F2BE5196AEF7}">
      <formula1>$A$1:$AB$1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7D71-3310-4D9C-B3DC-D826FAF86ACA}">
  <dimension ref="A1:AF39"/>
  <sheetViews>
    <sheetView zoomScale="80" zoomScaleNormal="70" workbookViewId="0">
      <pane xSplit="1" topLeftCell="B1" activePane="topRight" state="frozen"/>
      <selection activeCell="A18" sqref="A18"/>
      <selection pane="topRight" activeCell="G7" sqref="G7:G24"/>
    </sheetView>
  </sheetViews>
  <sheetFormatPr baseColWidth="10" defaultColWidth="10.5703125" defaultRowHeight="15" x14ac:dyDescent="0.25"/>
  <cols>
    <col min="1" max="1" width="12.42578125" bestFit="1" customWidth="1"/>
    <col min="2" max="2" width="13.85546875" bestFit="1" customWidth="1"/>
    <col min="3" max="3" width="16" bestFit="1" customWidth="1"/>
    <col min="4" max="4" width="14" bestFit="1" customWidth="1"/>
    <col min="5" max="5" width="13.7109375" bestFit="1" customWidth="1"/>
    <col min="6" max="6" width="16.7109375" bestFit="1" customWidth="1"/>
    <col min="7" max="7" width="12.85546875" customWidth="1"/>
    <col min="8" max="8" width="18.140625" bestFit="1" customWidth="1"/>
    <col min="9" max="9" width="13" customWidth="1"/>
    <col min="10" max="10" width="12.42578125" customWidth="1"/>
    <col min="11" max="11" width="14" bestFit="1" customWidth="1"/>
    <col min="12" max="12" width="10" customWidth="1"/>
  </cols>
  <sheetData>
    <row r="1" spans="1:30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347</v>
      </c>
      <c r="G1" s="10" t="s">
        <v>346</v>
      </c>
      <c r="H1" s="10" t="s">
        <v>345</v>
      </c>
      <c r="J1" s="2"/>
    </row>
    <row r="2" spans="1:30" x14ac:dyDescent="0.25">
      <c r="A2" s="11" t="s">
        <v>60</v>
      </c>
      <c r="B2" s="11" t="s">
        <v>49</v>
      </c>
      <c r="C2" s="11" t="s">
        <v>330</v>
      </c>
      <c r="D2" s="11">
        <v>174</v>
      </c>
      <c r="E2" s="11"/>
      <c r="F2" s="11">
        <v>37.5</v>
      </c>
      <c r="G2" s="11"/>
      <c r="H2" s="11">
        <v>35</v>
      </c>
      <c r="J2" s="3"/>
      <c r="AB2" s="5"/>
    </row>
    <row r="3" spans="1:30" x14ac:dyDescent="0.25">
      <c r="A3" s="11" t="s">
        <v>56</v>
      </c>
      <c r="B3" s="11" t="s">
        <v>45</v>
      </c>
      <c r="C3" s="11" t="s">
        <v>330</v>
      </c>
      <c r="D3" s="11">
        <v>157</v>
      </c>
      <c r="E3" s="11"/>
      <c r="F3" s="11">
        <v>37.5</v>
      </c>
      <c r="G3" s="11">
        <v>85</v>
      </c>
      <c r="H3" s="11">
        <v>40</v>
      </c>
      <c r="J3" s="3"/>
      <c r="AB3" s="3"/>
      <c r="AD3" s="3"/>
    </row>
    <row r="4" spans="1:30" x14ac:dyDescent="0.25">
      <c r="A4" s="11" t="s">
        <v>52</v>
      </c>
      <c r="B4" s="11" t="s">
        <v>29</v>
      </c>
      <c r="C4" s="11" t="s">
        <v>330</v>
      </c>
      <c r="D4" s="11">
        <v>164</v>
      </c>
      <c r="E4" s="11"/>
      <c r="F4" s="11">
        <v>40</v>
      </c>
      <c r="G4" s="11"/>
      <c r="H4" s="11">
        <v>40</v>
      </c>
      <c r="J4" s="3"/>
      <c r="AB4" s="3"/>
      <c r="AD4" s="3"/>
    </row>
    <row r="5" spans="1:30" x14ac:dyDescent="0.25">
      <c r="A5" s="11" t="s">
        <v>50</v>
      </c>
      <c r="B5" s="11" t="s">
        <v>36</v>
      </c>
      <c r="C5" s="11" t="s">
        <v>330</v>
      </c>
      <c r="D5" s="11">
        <v>158</v>
      </c>
      <c r="E5" s="11"/>
      <c r="F5" s="11">
        <v>30</v>
      </c>
      <c r="G5" s="11">
        <v>65</v>
      </c>
      <c r="H5" s="11">
        <v>40</v>
      </c>
      <c r="J5" s="3"/>
      <c r="AB5" s="3"/>
      <c r="AD5" s="3"/>
    </row>
    <row r="6" spans="1:30" x14ac:dyDescent="0.25">
      <c r="A6" s="11" t="s">
        <v>40</v>
      </c>
      <c r="B6" s="11" t="s">
        <v>31</v>
      </c>
      <c r="C6" s="11" t="s">
        <v>330</v>
      </c>
      <c r="D6" s="11"/>
      <c r="E6" s="11"/>
      <c r="F6" s="11"/>
      <c r="G6" s="11"/>
      <c r="H6" s="11">
        <v>45</v>
      </c>
      <c r="J6" s="3"/>
      <c r="AB6" s="3"/>
      <c r="AD6" s="3"/>
    </row>
    <row r="7" spans="1:30" x14ac:dyDescent="0.25">
      <c r="A7" s="11" t="s">
        <v>35</v>
      </c>
      <c r="B7" s="11" t="s">
        <v>36</v>
      </c>
      <c r="C7" s="11" t="s">
        <v>330</v>
      </c>
      <c r="D7" s="11"/>
      <c r="E7" s="11"/>
      <c r="F7" s="11">
        <v>45</v>
      </c>
      <c r="G7" s="11">
        <v>45</v>
      </c>
      <c r="H7" s="11">
        <v>45</v>
      </c>
      <c r="J7" s="3"/>
      <c r="AB7" s="3"/>
      <c r="AD7" s="3"/>
    </row>
    <row r="8" spans="1:30" x14ac:dyDescent="0.25">
      <c r="A8" s="11" t="s">
        <v>51</v>
      </c>
      <c r="B8" s="11" t="s">
        <v>29</v>
      </c>
      <c r="C8" s="11" t="s">
        <v>330</v>
      </c>
      <c r="D8" s="11">
        <v>166</v>
      </c>
      <c r="E8" s="11"/>
      <c r="F8" s="11">
        <v>50</v>
      </c>
      <c r="G8" s="11">
        <v>85</v>
      </c>
      <c r="H8" s="11">
        <v>45</v>
      </c>
      <c r="J8" s="3"/>
      <c r="AB8" s="3"/>
      <c r="AD8" s="3"/>
    </row>
    <row r="9" spans="1:30" x14ac:dyDescent="0.25">
      <c r="A9" s="11" t="s">
        <v>39</v>
      </c>
      <c r="B9" s="11" t="s">
        <v>29</v>
      </c>
      <c r="C9" s="11" t="s">
        <v>330</v>
      </c>
      <c r="D9" s="11">
        <v>160</v>
      </c>
      <c r="E9" s="11"/>
      <c r="F9" s="11">
        <v>42.5</v>
      </c>
      <c r="G9" s="11"/>
      <c r="H9" s="11">
        <v>47.5</v>
      </c>
      <c r="J9" s="3"/>
      <c r="AB9" s="3"/>
      <c r="AD9" s="3"/>
    </row>
    <row r="10" spans="1:30" x14ac:dyDescent="0.25">
      <c r="A10" s="13" t="s">
        <v>58</v>
      </c>
      <c r="B10" s="11" t="s">
        <v>45</v>
      </c>
      <c r="C10" s="11" t="s">
        <v>330</v>
      </c>
      <c r="D10" s="11">
        <v>161</v>
      </c>
      <c r="E10" s="11"/>
      <c r="F10" s="11">
        <v>50</v>
      </c>
      <c r="G10" s="11"/>
      <c r="H10" s="11">
        <v>50</v>
      </c>
      <c r="J10" s="3"/>
      <c r="AB10" s="3"/>
      <c r="AD10" s="3"/>
    </row>
    <row r="11" spans="1:30" x14ac:dyDescent="0.25">
      <c r="A11" s="11" t="s">
        <v>57</v>
      </c>
      <c r="B11" s="11" t="s">
        <v>29</v>
      </c>
      <c r="C11" s="11" t="s">
        <v>330</v>
      </c>
      <c r="D11" s="11">
        <v>161</v>
      </c>
      <c r="E11" s="11"/>
      <c r="F11" s="11">
        <v>40</v>
      </c>
      <c r="G11" s="11">
        <v>85</v>
      </c>
      <c r="H11" s="11">
        <v>50</v>
      </c>
      <c r="J11" s="3"/>
      <c r="AB11" s="3"/>
      <c r="AD11" s="3"/>
    </row>
    <row r="12" spans="1:30" x14ac:dyDescent="0.25">
      <c r="A12" s="11" t="s">
        <v>55</v>
      </c>
      <c r="B12" s="11" t="s">
        <v>45</v>
      </c>
      <c r="C12" s="11" t="s">
        <v>330</v>
      </c>
      <c r="D12" s="11">
        <v>167</v>
      </c>
      <c r="E12" s="11"/>
      <c r="F12" s="11">
        <v>52.5</v>
      </c>
      <c r="G12" s="11">
        <v>85</v>
      </c>
      <c r="H12" s="11">
        <v>50</v>
      </c>
      <c r="J12" s="3"/>
      <c r="AB12" s="3"/>
      <c r="AD12" s="3"/>
    </row>
    <row r="13" spans="1:30" x14ac:dyDescent="0.25">
      <c r="A13" s="11" t="s">
        <v>47</v>
      </c>
      <c r="B13" s="11" t="s">
        <v>45</v>
      </c>
      <c r="C13" s="11" t="s">
        <v>330</v>
      </c>
      <c r="D13" s="11">
        <v>160</v>
      </c>
      <c r="E13" s="11"/>
      <c r="F13" s="11">
        <v>52.5</v>
      </c>
      <c r="G13" s="11">
        <v>80</v>
      </c>
      <c r="H13" s="11">
        <v>50</v>
      </c>
      <c r="J13" s="3"/>
      <c r="AB13" s="3"/>
      <c r="AD13" s="3"/>
    </row>
    <row r="14" spans="1:30" x14ac:dyDescent="0.25">
      <c r="A14" s="11" t="s">
        <v>27</v>
      </c>
      <c r="B14" s="11" t="s">
        <v>295</v>
      </c>
      <c r="C14" s="11" t="s">
        <v>330</v>
      </c>
      <c r="D14" s="11"/>
      <c r="E14" s="11"/>
      <c r="F14" s="11">
        <v>48</v>
      </c>
      <c r="G14" s="11"/>
      <c r="H14" s="11">
        <v>50</v>
      </c>
      <c r="J14" s="3"/>
      <c r="AB14" s="3"/>
      <c r="AD14" s="3"/>
    </row>
    <row r="15" spans="1:30" x14ac:dyDescent="0.25">
      <c r="A15" s="11" t="s">
        <v>65</v>
      </c>
      <c r="B15" s="11" t="s">
        <v>29</v>
      </c>
      <c r="C15" s="11" t="s">
        <v>330</v>
      </c>
      <c r="D15" s="11">
        <v>162</v>
      </c>
      <c r="E15" s="11"/>
      <c r="F15" s="11">
        <v>35</v>
      </c>
      <c r="G15" s="11">
        <v>85</v>
      </c>
      <c r="H15" s="11">
        <v>50</v>
      </c>
      <c r="J15" s="3"/>
      <c r="AB15" s="3"/>
      <c r="AD15" s="3"/>
    </row>
    <row r="16" spans="1:30" x14ac:dyDescent="0.25">
      <c r="A16" s="11" t="s">
        <v>59</v>
      </c>
      <c r="B16" s="11" t="s">
        <v>45</v>
      </c>
      <c r="C16" s="11" t="s">
        <v>330</v>
      </c>
      <c r="D16" s="11">
        <v>164</v>
      </c>
      <c r="E16" s="11"/>
      <c r="F16" s="11"/>
      <c r="G16" s="11">
        <v>60</v>
      </c>
      <c r="H16" s="11">
        <v>55</v>
      </c>
      <c r="J16" s="3"/>
      <c r="AB16" s="3"/>
      <c r="AD16" s="3"/>
    </row>
    <row r="17" spans="1:32" x14ac:dyDescent="0.25">
      <c r="A17" s="11" t="s">
        <v>43</v>
      </c>
      <c r="B17" s="11" t="s">
        <v>29</v>
      </c>
      <c r="C17" s="11" t="s">
        <v>330</v>
      </c>
      <c r="D17" s="11">
        <v>164</v>
      </c>
      <c r="E17" s="11"/>
      <c r="F17" s="11">
        <v>47.5</v>
      </c>
      <c r="G17" s="11">
        <v>90</v>
      </c>
      <c r="H17" s="11">
        <v>55</v>
      </c>
      <c r="J17" s="3"/>
      <c r="AB17" s="3"/>
      <c r="AD17" s="3"/>
    </row>
    <row r="18" spans="1:32" x14ac:dyDescent="0.25">
      <c r="A18" s="11" t="s">
        <v>46</v>
      </c>
      <c r="B18" s="11" t="s">
        <v>45</v>
      </c>
      <c r="C18" s="11" t="s">
        <v>330</v>
      </c>
      <c r="D18" s="11"/>
      <c r="E18" s="11"/>
      <c r="F18" s="11">
        <v>48</v>
      </c>
      <c r="G18" s="11">
        <v>110</v>
      </c>
      <c r="H18" s="11">
        <v>55</v>
      </c>
      <c r="J18" s="3"/>
      <c r="AB18" s="3"/>
      <c r="AD18" s="3"/>
    </row>
    <row r="19" spans="1:32" x14ac:dyDescent="0.25">
      <c r="A19" s="11" t="s">
        <v>25</v>
      </c>
      <c r="B19" s="11" t="s">
        <v>295</v>
      </c>
      <c r="C19" s="11" t="s">
        <v>330</v>
      </c>
      <c r="D19" s="11">
        <v>162</v>
      </c>
      <c r="E19" s="11"/>
      <c r="F19" s="11">
        <v>45</v>
      </c>
      <c r="G19" s="11">
        <v>80</v>
      </c>
      <c r="H19" s="11">
        <v>55</v>
      </c>
      <c r="J19" s="3"/>
      <c r="AB19" s="3"/>
      <c r="AD19" s="3"/>
    </row>
    <row r="20" spans="1:32" x14ac:dyDescent="0.25">
      <c r="A20" s="11" t="s">
        <v>38</v>
      </c>
      <c r="B20" s="11" t="s">
        <v>296</v>
      </c>
      <c r="C20" s="11" t="s">
        <v>330</v>
      </c>
      <c r="D20" s="11">
        <v>168</v>
      </c>
      <c r="E20" s="11"/>
      <c r="F20" s="11">
        <v>60</v>
      </c>
      <c r="G20" s="11">
        <v>90</v>
      </c>
      <c r="H20" s="11">
        <v>57.5</v>
      </c>
      <c r="J20" s="3"/>
      <c r="AB20" s="3"/>
      <c r="AD20" s="3"/>
    </row>
    <row r="21" spans="1:32" x14ac:dyDescent="0.25">
      <c r="A21" s="11" t="s">
        <v>41</v>
      </c>
      <c r="B21" s="11" t="s">
        <v>29</v>
      </c>
      <c r="C21" s="11" t="s">
        <v>330</v>
      </c>
      <c r="D21" s="11">
        <v>162</v>
      </c>
      <c r="E21" s="11"/>
      <c r="F21" s="11">
        <v>52.5</v>
      </c>
      <c r="G21" s="11">
        <v>105</v>
      </c>
      <c r="H21" s="11">
        <v>60</v>
      </c>
      <c r="J21" s="3"/>
      <c r="AB21" s="3"/>
      <c r="AD21" s="3"/>
    </row>
    <row r="22" spans="1:32" x14ac:dyDescent="0.25">
      <c r="A22" s="11" t="s">
        <v>30</v>
      </c>
      <c r="B22" s="11" t="s">
        <v>31</v>
      </c>
      <c r="C22" s="11" t="s">
        <v>330</v>
      </c>
      <c r="D22" s="11">
        <v>166989</v>
      </c>
      <c r="E22" s="11"/>
      <c r="F22" s="11">
        <v>55</v>
      </c>
      <c r="G22" s="11"/>
      <c r="H22" s="11">
        <v>60</v>
      </c>
      <c r="J22" s="3"/>
      <c r="AB22" s="3"/>
      <c r="AD22" s="3"/>
    </row>
    <row r="23" spans="1:32" ht="18.75" x14ac:dyDescent="0.3">
      <c r="A23" s="11" t="s">
        <v>33</v>
      </c>
      <c r="B23" s="11" t="s">
        <v>296</v>
      </c>
      <c r="C23" s="11" t="s">
        <v>330</v>
      </c>
      <c r="D23" s="11">
        <v>164</v>
      </c>
      <c r="E23" s="11"/>
      <c r="F23" s="11">
        <v>45</v>
      </c>
      <c r="G23" s="11">
        <v>105</v>
      </c>
      <c r="H23" s="11">
        <v>60</v>
      </c>
      <c r="J23" s="3"/>
      <c r="L23" s="9"/>
      <c r="AB23" s="3"/>
      <c r="AD23" s="3"/>
    </row>
    <row r="24" spans="1:32" x14ac:dyDescent="0.25">
      <c r="A24" s="11" t="s">
        <v>54</v>
      </c>
      <c r="B24" s="11" t="s">
        <v>45</v>
      </c>
      <c r="C24" s="11" t="s">
        <v>330</v>
      </c>
      <c r="D24" s="11">
        <v>163</v>
      </c>
      <c r="E24" s="11"/>
      <c r="F24" s="11">
        <v>55</v>
      </c>
      <c r="G24" s="11">
        <v>110</v>
      </c>
      <c r="H24" s="11">
        <v>60</v>
      </c>
      <c r="J24" s="3"/>
      <c r="AB24" s="3"/>
      <c r="AD24" s="3"/>
    </row>
    <row r="25" spans="1:32" x14ac:dyDescent="0.25">
      <c r="A25" s="11" t="s">
        <v>44</v>
      </c>
      <c r="B25" s="11" t="s">
        <v>45</v>
      </c>
      <c r="C25" s="11" t="s">
        <v>330</v>
      </c>
      <c r="D25" s="11"/>
      <c r="E25" s="11"/>
      <c r="F25" s="11">
        <v>48</v>
      </c>
      <c r="G25" s="11"/>
      <c r="H25" s="11"/>
      <c r="J25" s="3"/>
      <c r="AB25" s="3"/>
      <c r="AD25" s="3"/>
    </row>
    <row r="26" spans="1:32" x14ac:dyDescent="0.25">
      <c r="A26" s="11" t="s">
        <v>28</v>
      </c>
      <c r="B26" s="11" t="s">
        <v>29</v>
      </c>
      <c r="C26" s="11" t="s">
        <v>330</v>
      </c>
      <c r="D26" s="11">
        <v>164</v>
      </c>
      <c r="E26" s="11"/>
      <c r="F26" s="11"/>
      <c r="G26" s="11"/>
      <c r="H26" s="11"/>
      <c r="AB26" s="3"/>
      <c r="AD26" s="3"/>
    </row>
    <row r="27" spans="1:32" x14ac:dyDescent="0.25">
      <c r="A27" s="11" t="s">
        <v>34</v>
      </c>
      <c r="B27" s="11" t="s">
        <v>29</v>
      </c>
      <c r="C27" s="11" t="s">
        <v>330</v>
      </c>
      <c r="D27" s="11"/>
      <c r="E27" s="11"/>
      <c r="F27" s="11"/>
      <c r="G27" s="11"/>
      <c r="H27" s="11"/>
      <c r="AD27" s="4"/>
      <c r="AF27" s="3"/>
    </row>
    <row r="28" spans="1:32" x14ac:dyDescent="0.25">
      <c r="A28" s="13" t="s">
        <v>61</v>
      </c>
      <c r="B28" s="11" t="s">
        <v>45</v>
      </c>
      <c r="C28" s="11" t="s">
        <v>330</v>
      </c>
      <c r="D28" s="11">
        <v>162</v>
      </c>
      <c r="E28" s="11"/>
      <c r="F28" s="11"/>
      <c r="G28" s="11"/>
      <c r="H28" s="11"/>
    </row>
    <row r="29" spans="1:32" x14ac:dyDescent="0.25">
      <c r="A29" s="11" t="s">
        <v>62</v>
      </c>
      <c r="B29" s="11" t="s">
        <v>295</v>
      </c>
      <c r="C29" s="11" t="s">
        <v>330</v>
      </c>
      <c r="D29" s="11"/>
      <c r="E29" s="11"/>
      <c r="F29" s="11"/>
      <c r="G29" s="11"/>
      <c r="H29" s="11"/>
      <c r="I29" s="1"/>
      <c r="J29" s="8"/>
      <c r="K29" s="1"/>
      <c r="L29" s="1"/>
    </row>
    <row r="30" spans="1:32" x14ac:dyDescent="0.25">
      <c r="A30" s="11" t="s">
        <v>23</v>
      </c>
      <c r="B30" s="11" t="s">
        <v>295</v>
      </c>
      <c r="C30" s="11" t="s">
        <v>330</v>
      </c>
      <c r="D30" s="11"/>
      <c r="E30" s="11"/>
      <c r="F30" s="11"/>
      <c r="G30" s="11"/>
      <c r="H30" s="11"/>
    </row>
    <row r="31" spans="1:32" x14ac:dyDescent="0.25">
      <c r="A31" s="11" t="s">
        <v>48</v>
      </c>
      <c r="B31" s="11" t="s">
        <v>49</v>
      </c>
      <c r="C31" s="11" t="s">
        <v>330</v>
      </c>
      <c r="D31" s="11"/>
      <c r="E31" s="11"/>
      <c r="F31" s="11"/>
      <c r="G31" s="11"/>
      <c r="H31" s="11"/>
    </row>
    <row r="32" spans="1:32" x14ac:dyDescent="0.25">
      <c r="A32" s="11" t="s">
        <v>63</v>
      </c>
      <c r="B32" s="11" t="s">
        <v>45</v>
      </c>
      <c r="C32" s="11" t="s">
        <v>330</v>
      </c>
      <c r="D32" s="11"/>
      <c r="E32" s="11"/>
      <c r="F32" s="11"/>
      <c r="G32" s="11"/>
      <c r="H32" s="11"/>
    </row>
    <row r="33" spans="1:8" x14ac:dyDescent="0.25">
      <c r="A33" s="11" t="s">
        <v>26</v>
      </c>
      <c r="B33" s="11" t="s">
        <v>296</v>
      </c>
      <c r="C33" s="11" t="s">
        <v>330</v>
      </c>
      <c r="D33" s="11"/>
      <c r="E33" s="11"/>
      <c r="F33" s="11"/>
      <c r="G33" s="11"/>
      <c r="H33" s="11"/>
    </row>
    <row r="34" spans="1:8" x14ac:dyDescent="0.25">
      <c r="A34" s="11" t="s">
        <v>53</v>
      </c>
      <c r="B34" s="11" t="s">
        <v>49</v>
      </c>
      <c r="C34" s="11" t="s">
        <v>330</v>
      </c>
      <c r="D34" s="11">
        <v>174</v>
      </c>
      <c r="E34" s="11"/>
      <c r="F34" s="11"/>
      <c r="G34" s="11"/>
      <c r="H34" s="11"/>
    </row>
    <row r="35" spans="1:8" x14ac:dyDescent="0.25">
      <c r="A35" s="11" t="s">
        <v>32</v>
      </c>
      <c r="B35" s="11" t="s">
        <v>296</v>
      </c>
      <c r="C35" s="11" t="s">
        <v>330</v>
      </c>
      <c r="D35" s="11"/>
      <c r="E35" s="11"/>
      <c r="F35" s="11"/>
      <c r="G35" s="11"/>
      <c r="H35" s="11"/>
    </row>
    <row r="36" spans="1:8" x14ac:dyDescent="0.25">
      <c r="A36" s="13" t="s">
        <v>64</v>
      </c>
      <c r="B36" s="11" t="s">
        <v>31</v>
      </c>
      <c r="C36" s="11" t="s">
        <v>330</v>
      </c>
      <c r="D36" s="11"/>
      <c r="E36" s="11"/>
      <c r="F36" s="11"/>
      <c r="G36" s="11"/>
      <c r="H36" s="11"/>
    </row>
    <row r="38" spans="1:8" x14ac:dyDescent="0.25">
      <c r="B38" s="7"/>
      <c r="C38" t="s">
        <v>297</v>
      </c>
    </row>
    <row r="39" spans="1:8" x14ac:dyDescent="0.25">
      <c r="B39" s="14"/>
      <c r="C39" t="s">
        <v>298</v>
      </c>
    </row>
  </sheetData>
  <phoneticPr fontId="3" type="noConversion"/>
  <dataValidations count="2">
    <dataValidation type="list" allowBlank="1" showInputMessage="1" showErrorMessage="1" sqref="J1" xr:uid="{67A13312-36C1-44FE-90CF-25442EBE90A1}">
      <formula1>$A$1:$H$1</formula1>
    </dataValidation>
    <dataValidation type="list" allowBlank="1" showInputMessage="1" showErrorMessage="1" sqref="B2:B36" xr:uid="{2897B10E-918D-43DE-B098-D03DA1CDB762}">
      <formula1>ListPoste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8F645-A730-45F3-AEF9-0F98B91E41F4}">
  <dimension ref="A1:BJ73"/>
  <sheetViews>
    <sheetView tabSelected="1" topLeftCell="A21" zoomScale="80" zoomScaleNormal="70" workbookViewId="0">
      <pane xSplit="1" topLeftCell="B1" activePane="topRight" state="frozen"/>
      <selection activeCell="A18" sqref="A18"/>
      <selection pane="topRight" activeCell="O37" sqref="O37"/>
    </sheetView>
  </sheetViews>
  <sheetFormatPr baseColWidth="10" defaultColWidth="10.5703125" defaultRowHeight="15" x14ac:dyDescent="0.25"/>
  <cols>
    <col min="1" max="1" width="12.42578125" bestFit="1" customWidth="1"/>
    <col min="2" max="2" width="13.85546875" bestFit="1" customWidth="1"/>
    <col min="3" max="3" width="16" bestFit="1" customWidth="1"/>
    <col min="4" max="4" width="16.28515625" bestFit="1" customWidth="1"/>
    <col min="5" max="6" width="17.28515625" bestFit="1" customWidth="1"/>
    <col min="7" max="7" width="15.28515625" bestFit="1" customWidth="1"/>
    <col min="8" max="8" width="13.140625" bestFit="1" customWidth="1"/>
    <col min="9" max="9" width="15.5703125" bestFit="1" customWidth="1"/>
    <col min="10" max="10" width="18" bestFit="1" customWidth="1"/>
    <col min="11" max="11" width="13" bestFit="1" customWidth="1"/>
    <col min="12" max="13" width="16.7109375" customWidth="1"/>
    <col min="14" max="14" width="16.5703125" bestFit="1" customWidth="1"/>
    <col min="15" max="15" width="19.28515625" bestFit="1" customWidth="1"/>
    <col min="16" max="16" width="16.28515625" bestFit="1" customWidth="1"/>
    <col min="17" max="17" width="16.28515625" customWidth="1"/>
    <col min="18" max="18" width="16.5703125" bestFit="1" customWidth="1"/>
    <col min="19" max="19" width="16" bestFit="1" customWidth="1"/>
    <col min="20" max="22" width="16.42578125" bestFit="1" customWidth="1"/>
    <col min="23" max="25" width="16.42578125" customWidth="1"/>
    <col min="26" max="26" width="19.85546875" bestFit="1" customWidth="1"/>
    <col min="27" max="29" width="19.85546875" customWidth="1"/>
    <col min="30" max="30" width="22.5703125" bestFit="1" customWidth="1"/>
    <col min="31" max="31" width="20.28515625" bestFit="1" customWidth="1"/>
    <col min="32" max="32" width="23" bestFit="1" customWidth="1"/>
    <col min="33" max="33" width="20.28515625" bestFit="1" customWidth="1"/>
    <col min="34" max="34" width="23" bestFit="1" customWidth="1"/>
    <col min="35" max="35" width="20.28515625" bestFit="1" customWidth="1"/>
    <col min="36" max="36" width="23" bestFit="1" customWidth="1"/>
    <col min="37" max="37" width="19.28515625" bestFit="1" customWidth="1"/>
    <col min="38" max="39" width="13" customWidth="1"/>
    <col min="40" max="40" width="12.42578125" customWidth="1"/>
    <col min="41" max="41" width="14" bestFit="1" customWidth="1"/>
    <col min="42" max="42" width="10" customWidth="1"/>
  </cols>
  <sheetData>
    <row r="1" spans="1:60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331</v>
      </c>
      <c r="G1" s="10" t="s">
        <v>356</v>
      </c>
      <c r="H1" s="10" t="s">
        <v>326</v>
      </c>
      <c r="I1" s="10" t="s">
        <v>327</v>
      </c>
      <c r="J1" s="10" t="s">
        <v>328</v>
      </c>
      <c r="K1" s="10" t="s">
        <v>329</v>
      </c>
      <c r="L1" s="10" t="s">
        <v>6</v>
      </c>
      <c r="M1" s="10" t="s">
        <v>361</v>
      </c>
      <c r="N1" s="10" t="s">
        <v>357</v>
      </c>
      <c r="O1" s="10" t="s">
        <v>362</v>
      </c>
      <c r="P1" s="10" t="s">
        <v>358</v>
      </c>
      <c r="Q1" s="10" t="s">
        <v>363</v>
      </c>
      <c r="R1" s="10" t="s">
        <v>359</v>
      </c>
      <c r="S1" s="10" t="s">
        <v>10</v>
      </c>
      <c r="T1" s="10" t="s">
        <v>11</v>
      </c>
      <c r="U1" s="10" t="s">
        <v>332</v>
      </c>
      <c r="V1" s="10" t="s">
        <v>333</v>
      </c>
      <c r="W1" s="10" t="s">
        <v>341</v>
      </c>
      <c r="X1" s="35" t="s">
        <v>338</v>
      </c>
      <c r="Y1" s="10" t="s">
        <v>339</v>
      </c>
      <c r="Z1" s="10" t="s">
        <v>340</v>
      </c>
      <c r="AA1" s="10" t="s">
        <v>342</v>
      </c>
      <c r="AB1" s="10" t="s">
        <v>343</v>
      </c>
      <c r="AC1" s="10" t="s">
        <v>344</v>
      </c>
      <c r="AD1" s="10" t="s">
        <v>14</v>
      </c>
      <c r="AE1" s="10" t="s">
        <v>15</v>
      </c>
      <c r="AF1" s="10" t="s">
        <v>16</v>
      </c>
      <c r="AG1" s="10" t="s">
        <v>17</v>
      </c>
      <c r="AH1" s="10" t="s">
        <v>334</v>
      </c>
      <c r="AI1" s="10" t="s">
        <v>335</v>
      </c>
      <c r="AJ1" s="10" t="s">
        <v>336</v>
      </c>
      <c r="AK1" s="10" t="s">
        <v>337</v>
      </c>
      <c r="AL1" s="10" t="s">
        <v>360</v>
      </c>
      <c r="AN1" s="2"/>
    </row>
    <row r="2" spans="1:60" x14ac:dyDescent="0.25">
      <c r="A2" s="11" t="s">
        <v>56</v>
      </c>
      <c r="B2" s="11" t="s">
        <v>45</v>
      </c>
      <c r="C2" s="11" t="s">
        <v>355</v>
      </c>
      <c r="D2" s="11"/>
      <c r="E2" s="11">
        <v>57</v>
      </c>
      <c r="F2" s="11">
        <v>14.1</v>
      </c>
      <c r="G2" s="18">
        <v>480</v>
      </c>
      <c r="H2" s="18"/>
      <c r="I2" s="18"/>
      <c r="J2" s="31"/>
      <c r="K2" s="33"/>
      <c r="L2" s="11">
        <v>42.5</v>
      </c>
      <c r="M2" s="11">
        <f>ListDatas3412[[#This Row],[1RM DC]]/ListDatas3412[[#This Row],[Poids (kg)]]</f>
        <v>0.74561403508771928</v>
      </c>
      <c r="N2" s="11">
        <v>50</v>
      </c>
      <c r="O2" s="11"/>
      <c r="P2" s="39"/>
      <c r="Q2" s="39"/>
      <c r="R2" s="11"/>
      <c r="S2" s="11">
        <v>2.15</v>
      </c>
      <c r="T2" s="11">
        <v>3.75</v>
      </c>
      <c r="U2" s="11">
        <v>5.38</v>
      </c>
      <c r="V2" s="11">
        <v>7.05</v>
      </c>
      <c r="W2" s="11">
        <f>ListDatas3412[[#This Row],[10m (s)]]</f>
        <v>2.15</v>
      </c>
      <c r="X2" s="36">
        <f>ListDatas3412[[#This Row],[20m (s)]]-ListDatas3412[[#This Row],[10m (s)]]</f>
        <v>1.6</v>
      </c>
      <c r="Y2" s="11">
        <f>ListDatas3412[[#This Row],[30m (s)]]-ListDatas3412[[#This Row],[20m (s)]]</f>
        <v>1.63</v>
      </c>
      <c r="Z2" s="11">
        <f>ListDatas3412[[#This Row],[40m (s)]]-ListDatas3412[[#This Row],[30m (s)]]</f>
        <v>1.67</v>
      </c>
      <c r="AA2" s="12">
        <f>10/ListDatas3412[[#This Row],[10m - 20m]]</f>
        <v>6.25</v>
      </c>
      <c r="AB2" s="12">
        <f>10/ListDatas3412[[#This Row],[20-30m]]</f>
        <v>6.1349693251533743</v>
      </c>
      <c r="AC2" s="12">
        <f>10/ListDatas3412[[#This Row],[30-40m]]</f>
        <v>5.9880239520958085</v>
      </c>
      <c r="AD2" s="12">
        <f>10/ListDatas3412[[#This Row],[10m (s)]]</f>
        <v>4.6511627906976747</v>
      </c>
      <c r="AE2" s="12">
        <f>ListDatas3412[[#This Row],[m.s 10m]]*3.6</f>
        <v>16.744186046511629</v>
      </c>
      <c r="AF2" s="12">
        <f>20/ListDatas3412[[#This Row],[20m (s)]]</f>
        <v>5.333333333333333</v>
      </c>
      <c r="AG2" s="12">
        <f>ListDatas3412[[#This Row],[m.s 20m]]*3.6</f>
        <v>19.2</v>
      </c>
      <c r="AH2" s="12">
        <f>30/ListDatas3412[[#This Row],[30m (s)]]</f>
        <v>5.5762081784386615</v>
      </c>
      <c r="AI2" s="12">
        <f>ListDatas3412[[#This Row],[m.s 30m]]*3.6</f>
        <v>20.07434944237918</v>
      </c>
      <c r="AJ2" s="12">
        <f>40/ListDatas3412[[#This Row],[40m (s)]]</f>
        <v>5.6737588652482271</v>
      </c>
      <c r="AK2" s="12">
        <f>ListDatas3412[[#This Row],[m.s 40m]]*3.6</f>
        <v>20.425531914893618</v>
      </c>
      <c r="AL2" s="11"/>
      <c r="AN2" s="3"/>
      <c r="BF2" s="5"/>
    </row>
    <row r="3" spans="1:60" x14ac:dyDescent="0.25">
      <c r="A3" s="11" t="s">
        <v>35</v>
      </c>
      <c r="B3" s="11" t="s">
        <v>36</v>
      </c>
      <c r="C3" s="11" t="s">
        <v>355</v>
      </c>
      <c r="D3" s="11"/>
      <c r="E3" s="11"/>
      <c r="F3" s="39">
        <v>16.100000000000001</v>
      </c>
      <c r="G3" s="50">
        <v>1120</v>
      </c>
      <c r="H3" s="50"/>
      <c r="I3" s="50"/>
      <c r="J3" s="51"/>
      <c r="K3" s="52"/>
      <c r="L3" s="11">
        <v>52.5</v>
      </c>
      <c r="M3" s="11" t="e">
        <f>ListDatas3412[[#This Row],[1RM DC]]/ListDatas3412[[#This Row],[Poids (kg)]]</f>
        <v>#DIV/0!</v>
      </c>
      <c r="N3" s="11">
        <v>50</v>
      </c>
      <c r="O3" s="11"/>
      <c r="P3" s="39"/>
      <c r="Q3" s="39"/>
      <c r="R3" s="11"/>
      <c r="S3" s="11">
        <v>1.81</v>
      </c>
      <c r="T3" s="11">
        <v>3.17</v>
      </c>
      <c r="U3" s="11">
        <v>4.49</v>
      </c>
      <c r="V3" s="11">
        <v>5.87</v>
      </c>
      <c r="W3" s="11">
        <f>ListDatas3412[[#This Row],[10m (s)]]</f>
        <v>1.81</v>
      </c>
      <c r="X3" s="11">
        <f>ListDatas3412[[#This Row],[20m (s)]]-ListDatas3412[[#This Row],[10m (s)]]</f>
        <v>1.3599999999999999</v>
      </c>
      <c r="Y3" s="36">
        <f>ListDatas3412[[#This Row],[30m (s)]]-ListDatas3412[[#This Row],[20m (s)]]</f>
        <v>1.3200000000000003</v>
      </c>
      <c r="Z3" s="11">
        <f>ListDatas3412[[#This Row],[40m (s)]]-ListDatas3412[[#This Row],[30m (s)]]</f>
        <v>1.38</v>
      </c>
      <c r="AA3" s="12">
        <f>10/ListDatas3412[[#This Row],[10m - 20m]]</f>
        <v>7.3529411764705888</v>
      </c>
      <c r="AB3" s="12">
        <f>10/ListDatas3412[[#This Row],[20-30m]]</f>
        <v>7.5757575757575744</v>
      </c>
      <c r="AC3" s="12">
        <f>10/ListDatas3412[[#This Row],[30-40m]]</f>
        <v>7.2463768115942031</v>
      </c>
      <c r="AD3" s="12">
        <f>10/ListDatas3412[[#This Row],[10m (s)]]</f>
        <v>5.5248618784530388</v>
      </c>
      <c r="AE3" s="12">
        <f>ListDatas3412[[#This Row],[m.s 10m]]*3.6</f>
        <v>19.88950276243094</v>
      </c>
      <c r="AF3" s="12">
        <f>20/ListDatas3412[[#This Row],[20m (s)]]</f>
        <v>6.309148264984227</v>
      </c>
      <c r="AG3" s="12">
        <f>ListDatas3412[[#This Row],[m.s 20m]]*3.6</f>
        <v>22.712933753943219</v>
      </c>
      <c r="AH3" s="12">
        <f>30/ListDatas3412[[#This Row],[30m (s)]]</f>
        <v>6.6815144766146988</v>
      </c>
      <c r="AI3" s="12">
        <f>ListDatas3412[[#This Row],[m.s 30m]]*3.6</f>
        <v>24.053452115812917</v>
      </c>
      <c r="AJ3" s="12">
        <f>40/ListDatas3412[[#This Row],[40m (s)]]</f>
        <v>6.8143100511073254</v>
      </c>
      <c r="AK3" s="12">
        <f>ListDatas3412[[#This Row],[m.s 40m]]*3.6</f>
        <v>24.531516183986373</v>
      </c>
      <c r="AL3" s="11">
        <v>191</v>
      </c>
      <c r="AN3" s="3"/>
      <c r="BF3" s="3"/>
      <c r="BH3" s="3"/>
    </row>
    <row r="4" spans="1:60" x14ac:dyDescent="0.25">
      <c r="A4" s="11" t="s">
        <v>59</v>
      </c>
      <c r="B4" s="11" t="s">
        <v>45</v>
      </c>
      <c r="C4" s="11" t="s">
        <v>355</v>
      </c>
      <c r="D4" s="11"/>
      <c r="E4" s="11"/>
      <c r="F4" s="39">
        <v>13.4</v>
      </c>
      <c r="G4" s="50">
        <v>440</v>
      </c>
      <c r="H4" s="50"/>
      <c r="I4" s="50"/>
      <c r="J4" s="51"/>
      <c r="K4" s="52"/>
      <c r="L4" s="11">
        <v>55</v>
      </c>
      <c r="M4" s="11" t="e">
        <f>ListDatas3412[[#This Row],[1RM DC]]/ListDatas3412[[#This Row],[Poids (kg)]]</f>
        <v>#DIV/0!</v>
      </c>
      <c r="N4" s="11">
        <v>60</v>
      </c>
      <c r="O4" s="11"/>
      <c r="P4" s="39"/>
      <c r="Q4" s="39"/>
      <c r="R4" s="11"/>
      <c r="S4" s="11">
        <v>2.02</v>
      </c>
      <c r="T4" s="11">
        <v>3.5</v>
      </c>
      <c r="U4" s="11">
        <v>4.96</v>
      </c>
      <c r="V4" s="11">
        <v>6.53</v>
      </c>
      <c r="W4" s="11">
        <f>ListDatas3412[[#This Row],[10m (s)]]</f>
        <v>2.02</v>
      </c>
      <c r="X4" s="36">
        <f>ListDatas3412[[#This Row],[20m (s)]]-ListDatas3412[[#This Row],[10m (s)]]</f>
        <v>1.48</v>
      </c>
      <c r="Y4" s="36">
        <f>ListDatas3412[[#This Row],[30m (s)]]-ListDatas3412[[#This Row],[20m (s)]]</f>
        <v>1.46</v>
      </c>
      <c r="Z4" s="11">
        <f>ListDatas3412[[#This Row],[40m (s)]]-ListDatas3412[[#This Row],[30m (s)]]</f>
        <v>1.5700000000000003</v>
      </c>
      <c r="AA4" s="12">
        <f>10/ListDatas3412[[#This Row],[10m - 20m]]</f>
        <v>6.756756756756757</v>
      </c>
      <c r="AB4" s="12">
        <f>10/ListDatas3412[[#This Row],[20-30m]]</f>
        <v>6.8493150684931505</v>
      </c>
      <c r="AC4" s="12">
        <f>10/ListDatas3412[[#This Row],[30-40m]]</f>
        <v>6.3694267515923553</v>
      </c>
      <c r="AD4" s="12">
        <f>10/ListDatas3412[[#This Row],[10m (s)]]</f>
        <v>4.9504950495049505</v>
      </c>
      <c r="AE4" s="12">
        <f>ListDatas3412[[#This Row],[m.s 10m]]*3.6</f>
        <v>17.821782178217823</v>
      </c>
      <c r="AF4" s="12">
        <f>20/ListDatas3412[[#This Row],[20m (s)]]</f>
        <v>5.7142857142857144</v>
      </c>
      <c r="AG4" s="12">
        <f>ListDatas3412[[#This Row],[m.s 20m]]*3.6</f>
        <v>20.571428571428573</v>
      </c>
      <c r="AH4" s="12">
        <f>30/ListDatas3412[[#This Row],[30m (s)]]</f>
        <v>6.0483870967741939</v>
      </c>
      <c r="AI4" s="12">
        <f>ListDatas3412[[#This Row],[m.s 30m]]*3.6</f>
        <v>21.7741935483871</v>
      </c>
      <c r="AJ4" s="12">
        <f>40/ListDatas3412[[#This Row],[40m (s)]]</f>
        <v>6.1255742725880546</v>
      </c>
      <c r="AK4" s="12">
        <f>ListDatas3412[[#This Row],[m.s 40m]]*3.6</f>
        <v>22.052067381316999</v>
      </c>
      <c r="AL4" s="11">
        <v>157</v>
      </c>
      <c r="AN4" s="3"/>
      <c r="BF4" s="3"/>
      <c r="BH4" s="3"/>
    </row>
    <row r="5" spans="1:60" x14ac:dyDescent="0.25">
      <c r="A5" s="11" t="s">
        <v>28</v>
      </c>
      <c r="B5" s="11" t="s">
        <v>29</v>
      </c>
      <c r="C5" s="11" t="s">
        <v>355</v>
      </c>
      <c r="D5" s="11"/>
      <c r="E5" s="11"/>
      <c r="F5" s="39">
        <v>15.8</v>
      </c>
      <c r="G5" s="50">
        <v>1080</v>
      </c>
      <c r="H5" s="50"/>
      <c r="I5" s="50"/>
      <c r="J5" s="51"/>
      <c r="K5" s="52"/>
      <c r="L5" s="11">
        <v>55</v>
      </c>
      <c r="M5" s="11" t="e">
        <f>ListDatas3412[[#This Row],[1RM DC]]/ListDatas3412[[#This Row],[Poids (kg)]]</f>
        <v>#DIV/0!</v>
      </c>
      <c r="N5" s="11">
        <v>58</v>
      </c>
      <c r="O5" s="11"/>
      <c r="P5" s="39"/>
      <c r="Q5" s="39"/>
      <c r="R5" s="11"/>
      <c r="S5" s="11">
        <v>1.95</v>
      </c>
      <c r="T5" s="11">
        <v>3.29</v>
      </c>
      <c r="U5" s="11">
        <v>4.63</v>
      </c>
      <c r="V5" s="11">
        <v>5.95</v>
      </c>
      <c r="W5" s="11">
        <f>ListDatas3412[[#This Row],[10m (s)]]</f>
        <v>1.95</v>
      </c>
      <c r="X5" s="11">
        <f>ListDatas3412[[#This Row],[20m (s)]]-ListDatas3412[[#This Row],[10m (s)]]</f>
        <v>1.34</v>
      </c>
      <c r="Y5" s="36">
        <f>ListDatas3412[[#This Row],[30m (s)]]-ListDatas3412[[#This Row],[20m (s)]]</f>
        <v>1.3399999999999999</v>
      </c>
      <c r="Z5" s="36">
        <f>ListDatas3412[[#This Row],[40m (s)]]-ListDatas3412[[#This Row],[30m (s)]]</f>
        <v>1.3200000000000003</v>
      </c>
      <c r="AA5" s="12">
        <f>10/ListDatas3412[[#This Row],[10m - 20m]]</f>
        <v>7.4626865671641784</v>
      </c>
      <c r="AB5" s="12">
        <f>10/ListDatas3412[[#This Row],[20-30m]]</f>
        <v>7.4626865671641802</v>
      </c>
      <c r="AC5" s="12">
        <f>10/ListDatas3412[[#This Row],[30-40m]]</f>
        <v>7.5757575757575744</v>
      </c>
      <c r="AD5" s="12">
        <f>10/ListDatas3412[[#This Row],[10m (s)]]</f>
        <v>5.1282051282051286</v>
      </c>
      <c r="AE5" s="12">
        <f>ListDatas3412[[#This Row],[m.s 10m]]*3.6</f>
        <v>18.461538461538463</v>
      </c>
      <c r="AF5" s="12">
        <f>20/ListDatas3412[[#This Row],[20m (s)]]</f>
        <v>6.0790273556230998</v>
      </c>
      <c r="AG5" s="12">
        <f>ListDatas3412[[#This Row],[m.s 20m]]*3.6</f>
        <v>21.88449848024316</v>
      </c>
      <c r="AH5" s="12">
        <f>30/ListDatas3412[[#This Row],[30m (s)]]</f>
        <v>6.4794816414686824</v>
      </c>
      <c r="AI5" s="12">
        <f>ListDatas3412[[#This Row],[m.s 30m]]*3.6</f>
        <v>23.326133909287257</v>
      </c>
      <c r="AJ5" s="12">
        <f>40/ListDatas3412[[#This Row],[40m (s)]]</f>
        <v>6.7226890756302522</v>
      </c>
      <c r="AK5" s="12">
        <f>ListDatas3412[[#This Row],[m.s 40m]]*3.6</f>
        <v>24.201680672268907</v>
      </c>
      <c r="AL5" s="11">
        <v>198</v>
      </c>
      <c r="AN5" s="3"/>
      <c r="BF5" s="3"/>
      <c r="BH5" s="3"/>
    </row>
    <row r="6" spans="1:60" x14ac:dyDescent="0.25">
      <c r="A6" s="11" t="s">
        <v>34</v>
      </c>
      <c r="B6" s="11" t="s">
        <v>29</v>
      </c>
      <c r="C6" s="11" t="s">
        <v>355</v>
      </c>
      <c r="D6" s="11"/>
      <c r="E6" s="11"/>
      <c r="F6" s="39"/>
      <c r="G6" s="50"/>
      <c r="H6" s="50"/>
      <c r="I6" s="50"/>
      <c r="J6" s="51"/>
      <c r="K6" s="52"/>
      <c r="L6" s="11">
        <v>40</v>
      </c>
      <c r="M6" s="11" t="e">
        <f>ListDatas3412[[#This Row],[1RM DC]]/ListDatas3412[[#This Row],[Poids (kg)]]</f>
        <v>#DIV/0!</v>
      </c>
      <c r="N6" s="11">
        <v>53</v>
      </c>
      <c r="O6" s="11"/>
      <c r="P6" s="39"/>
      <c r="Q6" s="39"/>
      <c r="R6" s="11"/>
      <c r="S6" s="11"/>
      <c r="T6" s="11"/>
      <c r="U6" s="11"/>
      <c r="V6" s="11"/>
      <c r="W6" s="11">
        <f>ListDatas3412[[#This Row],[10m (s)]]</f>
        <v>0</v>
      </c>
      <c r="X6" s="11">
        <f>ListDatas3412[[#This Row],[20m (s)]]-ListDatas3412[[#This Row],[10m (s)]]</f>
        <v>0</v>
      </c>
      <c r="Y6" s="11">
        <f>ListDatas3412[[#This Row],[30m (s)]]-ListDatas3412[[#This Row],[20m (s)]]</f>
        <v>0</v>
      </c>
      <c r="Z6" s="11">
        <f>ListDatas3412[[#This Row],[40m (s)]]-ListDatas3412[[#This Row],[30m (s)]]</f>
        <v>0</v>
      </c>
      <c r="AA6" s="12" t="e">
        <f>10/ListDatas3412[[#This Row],[10m - 20m]]</f>
        <v>#DIV/0!</v>
      </c>
      <c r="AB6" s="12" t="e">
        <f>10/ListDatas3412[[#This Row],[20-30m]]</f>
        <v>#DIV/0!</v>
      </c>
      <c r="AC6" s="12" t="e">
        <f>10/ListDatas3412[[#This Row],[30-40m]]</f>
        <v>#DIV/0!</v>
      </c>
      <c r="AD6" s="12" t="e">
        <f>10/ListDatas3412[[#This Row],[10m (s)]]</f>
        <v>#DIV/0!</v>
      </c>
      <c r="AE6" s="12" t="e">
        <f>ListDatas3412[[#This Row],[m.s 10m]]*3.6</f>
        <v>#DIV/0!</v>
      </c>
      <c r="AF6" s="12" t="e">
        <f>20/ListDatas3412[[#This Row],[20m (s)]]</f>
        <v>#DIV/0!</v>
      </c>
      <c r="AG6" s="12" t="e">
        <f>ListDatas3412[[#This Row],[m.s 20m]]*3.6</f>
        <v>#DIV/0!</v>
      </c>
      <c r="AH6" s="12" t="e">
        <f>30/ListDatas3412[[#This Row],[30m (s)]]</f>
        <v>#DIV/0!</v>
      </c>
      <c r="AI6" s="12" t="e">
        <f>ListDatas3412[[#This Row],[m.s 30m]]*3.6</f>
        <v>#DIV/0!</v>
      </c>
      <c r="AJ6" s="12" t="e">
        <f>40/ListDatas3412[[#This Row],[40m (s)]]</f>
        <v>#DIV/0!</v>
      </c>
      <c r="AK6" s="12" t="e">
        <f>ListDatas3412[[#This Row],[m.s 40m]]*3.6</f>
        <v>#DIV/0!</v>
      </c>
      <c r="AL6" s="11"/>
      <c r="AN6" s="3"/>
      <c r="BF6" s="3"/>
      <c r="BH6" s="3"/>
    </row>
    <row r="7" spans="1:60" x14ac:dyDescent="0.25">
      <c r="A7" s="11" t="s">
        <v>62</v>
      </c>
      <c r="B7" s="11" t="s">
        <v>295</v>
      </c>
      <c r="C7" s="11" t="s">
        <v>355</v>
      </c>
      <c r="D7" s="11"/>
      <c r="E7" s="11"/>
      <c r="F7" s="39"/>
      <c r="G7" s="50"/>
      <c r="H7" s="50"/>
      <c r="I7" s="50"/>
      <c r="J7" s="51"/>
      <c r="K7" s="52"/>
      <c r="L7" s="11">
        <v>45</v>
      </c>
      <c r="M7" s="11" t="e">
        <f>ListDatas3412[[#This Row],[1RM DC]]/ListDatas3412[[#This Row],[Poids (kg)]]</f>
        <v>#DIV/0!</v>
      </c>
      <c r="N7" s="11">
        <v>50</v>
      </c>
      <c r="O7" s="11"/>
      <c r="P7" s="39"/>
      <c r="Q7" s="39"/>
      <c r="R7" s="11"/>
      <c r="S7" s="11">
        <v>1.93</v>
      </c>
      <c r="T7" s="11">
        <v>3.31</v>
      </c>
      <c r="U7" s="11">
        <v>4.6100000000000003</v>
      </c>
      <c r="V7" s="11">
        <v>5.94</v>
      </c>
      <c r="W7" s="11">
        <f>ListDatas3412[[#This Row],[10m (s)]]</f>
        <v>1.93</v>
      </c>
      <c r="X7" s="11">
        <f>ListDatas3412[[#This Row],[20m (s)]]-ListDatas3412[[#This Row],[10m (s)]]</f>
        <v>1.3800000000000001</v>
      </c>
      <c r="Y7" s="36">
        <f>ListDatas3412[[#This Row],[30m (s)]]-ListDatas3412[[#This Row],[20m (s)]]</f>
        <v>1.3000000000000003</v>
      </c>
      <c r="Z7" s="11">
        <f>ListDatas3412[[#This Row],[40m (s)]]-ListDatas3412[[#This Row],[30m (s)]]</f>
        <v>1.33</v>
      </c>
      <c r="AA7" s="12">
        <f>10/ListDatas3412[[#This Row],[10m - 20m]]</f>
        <v>7.2463768115942022</v>
      </c>
      <c r="AB7" s="12">
        <f>10/ListDatas3412[[#This Row],[20-30m]]</f>
        <v>7.6923076923076907</v>
      </c>
      <c r="AC7" s="12">
        <f>10/ListDatas3412[[#This Row],[30-40m]]</f>
        <v>7.518796992481203</v>
      </c>
      <c r="AD7" s="12">
        <f>10/ListDatas3412[[#This Row],[10m (s)]]</f>
        <v>5.1813471502590671</v>
      </c>
      <c r="AE7" s="12">
        <f>ListDatas3412[[#This Row],[m.s 10m]]*3.6</f>
        <v>18.652849740932641</v>
      </c>
      <c r="AF7" s="12">
        <f>20/ListDatas3412[[#This Row],[20m (s)]]</f>
        <v>6.0422960725075532</v>
      </c>
      <c r="AG7" s="12">
        <f>ListDatas3412[[#This Row],[m.s 20m]]*3.6</f>
        <v>21.75226586102719</v>
      </c>
      <c r="AH7" s="12">
        <f>30/ListDatas3412[[#This Row],[30m (s)]]</f>
        <v>6.5075921908893708</v>
      </c>
      <c r="AI7" s="12">
        <f>ListDatas3412[[#This Row],[m.s 30m]]*3.6</f>
        <v>23.427331887201735</v>
      </c>
      <c r="AJ7" s="12">
        <f>40/ListDatas3412[[#This Row],[40m (s)]]</f>
        <v>6.7340067340067336</v>
      </c>
      <c r="AK7" s="12">
        <f>ListDatas3412[[#This Row],[m.s 40m]]*3.6</f>
        <v>24.242424242424242</v>
      </c>
      <c r="AL7" s="11"/>
      <c r="AN7" s="3"/>
      <c r="BF7" s="3"/>
      <c r="BH7" s="3"/>
    </row>
    <row r="8" spans="1:60" x14ac:dyDescent="0.25">
      <c r="A8" s="11" t="s">
        <v>52</v>
      </c>
      <c r="B8" s="11" t="s">
        <v>29</v>
      </c>
      <c r="C8" s="11" t="s">
        <v>355</v>
      </c>
      <c r="D8" s="11"/>
      <c r="E8" s="11"/>
      <c r="F8" s="39"/>
      <c r="G8" s="50"/>
      <c r="H8" s="50"/>
      <c r="I8" s="50"/>
      <c r="J8" s="51"/>
      <c r="K8" s="52"/>
      <c r="L8" s="11">
        <v>42.5</v>
      </c>
      <c r="M8" s="11" t="e">
        <f>ListDatas3412[[#This Row],[1RM DC]]/ListDatas3412[[#This Row],[Poids (kg)]]</f>
        <v>#DIV/0!</v>
      </c>
      <c r="N8" s="11">
        <v>45</v>
      </c>
      <c r="O8" s="11"/>
      <c r="P8" s="39"/>
      <c r="Q8" s="39"/>
      <c r="R8" s="11"/>
      <c r="S8" s="11">
        <v>1.85</v>
      </c>
      <c r="T8" s="11">
        <v>3.24</v>
      </c>
      <c r="U8" s="11">
        <v>4.62</v>
      </c>
      <c r="V8" s="11">
        <v>6.05</v>
      </c>
      <c r="W8" s="11">
        <f>ListDatas3412[[#This Row],[10m (s)]]</f>
        <v>1.85</v>
      </c>
      <c r="X8" s="11">
        <f>ListDatas3412[[#This Row],[20m (s)]]-ListDatas3412[[#This Row],[10m (s)]]</f>
        <v>1.3900000000000001</v>
      </c>
      <c r="Y8" s="36">
        <f>ListDatas3412[[#This Row],[30m (s)]]-ListDatas3412[[#This Row],[20m (s)]]</f>
        <v>1.38</v>
      </c>
      <c r="Z8" s="11">
        <f>ListDatas3412[[#This Row],[40m (s)]]-ListDatas3412[[#This Row],[30m (s)]]</f>
        <v>1.4299999999999997</v>
      </c>
      <c r="AA8" s="12">
        <f>10/ListDatas3412[[#This Row],[10m - 20m]]</f>
        <v>7.1942446043165464</v>
      </c>
      <c r="AB8" s="12">
        <f>10/ListDatas3412[[#This Row],[20-30m]]</f>
        <v>7.2463768115942031</v>
      </c>
      <c r="AC8" s="12">
        <f>10/ListDatas3412[[#This Row],[30-40m]]</f>
        <v>6.9930069930069942</v>
      </c>
      <c r="AD8" s="12">
        <f>10/ListDatas3412[[#This Row],[10m (s)]]</f>
        <v>5.4054054054054053</v>
      </c>
      <c r="AE8" s="12">
        <f>ListDatas3412[[#This Row],[m.s 10m]]*3.6</f>
        <v>19.45945945945946</v>
      </c>
      <c r="AF8" s="12">
        <f>20/ListDatas3412[[#This Row],[20m (s)]]</f>
        <v>6.1728395061728394</v>
      </c>
      <c r="AG8" s="12">
        <f>ListDatas3412[[#This Row],[m.s 20m]]*3.6</f>
        <v>22.222222222222221</v>
      </c>
      <c r="AH8" s="12">
        <f>30/ListDatas3412[[#This Row],[30m (s)]]</f>
        <v>6.4935064935064934</v>
      </c>
      <c r="AI8" s="12">
        <f>ListDatas3412[[#This Row],[m.s 30m]]*3.6</f>
        <v>23.376623376623378</v>
      </c>
      <c r="AJ8" s="12">
        <f>40/ListDatas3412[[#This Row],[40m (s)]]</f>
        <v>6.6115702479338845</v>
      </c>
      <c r="AK8" s="12">
        <f>ListDatas3412[[#This Row],[m.s 40m]]*3.6</f>
        <v>23.801652892561986</v>
      </c>
      <c r="AL8" s="11">
        <v>184</v>
      </c>
      <c r="AN8" s="3"/>
      <c r="BF8" s="3"/>
      <c r="BH8" s="3"/>
    </row>
    <row r="9" spans="1:60" x14ac:dyDescent="0.25">
      <c r="A9" s="11" t="s">
        <v>48</v>
      </c>
      <c r="B9" s="11" t="s">
        <v>49</v>
      </c>
      <c r="C9" s="11" t="s">
        <v>355</v>
      </c>
      <c r="D9" s="11"/>
      <c r="E9" s="11"/>
      <c r="F9" s="39"/>
      <c r="G9" s="50"/>
      <c r="H9" s="50"/>
      <c r="I9" s="50"/>
      <c r="J9" s="51"/>
      <c r="K9" s="52"/>
      <c r="L9" s="11">
        <v>40</v>
      </c>
      <c r="M9" s="11" t="e">
        <f>ListDatas3412[[#This Row],[1RM DC]]/ListDatas3412[[#This Row],[Poids (kg)]]</f>
        <v>#DIV/0!</v>
      </c>
      <c r="N9" s="11">
        <v>40</v>
      </c>
      <c r="O9" s="11"/>
      <c r="P9" s="39"/>
      <c r="Q9" s="39"/>
      <c r="R9" s="11"/>
      <c r="S9" s="11"/>
      <c r="T9" s="11"/>
      <c r="U9" s="11"/>
      <c r="V9" s="11"/>
      <c r="W9" s="11">
        <f>ListDatas3412[[#This Row],[10m (s)]]</f>
        <v>0</v>
      </c>
      <c r="X9" s="11">
        <f>ListDatas3412[[#This Row],[20m (s)]]-ListDatas3412[[#This Row],[10m (s)]]</f>
        <v>0</v>
      </c>
      <c r="Y9" s="11">
        <f>ListDatas3412[[#This Row],[30m (s)]]-ListDatas3412[[#This Row],[20m (s)]]</f>
        <v>0</v>
      </c>
      <c r="Z9" s="11">
        <f>ListDatas3412[[#This Row],[40m (s)]]-ListDatas3412[[#This Row],[30m (s)]]</f>
        <v>0</v>
      </c>
      <c r="AA9" s="12" t="e">
        <f>10/ListDatas3412[[#This Row],[10m - 20m]]</f>
        <v>#DIV/0!</v>
      </c>
      <c r="AB9" s="12" t="e">
        <f>10/ListDatas3412[[#This Row],[20-30m]]</f>
        <v>#DIV/0!</v>
      </c>
      <c r="AC9" s="12" t="e">
        <f>10/ListDatas3412[[#This Row],[30-40m]]</f>
        <v>#DIV/0!</v>
      </c>
      <c r="AD9" s="12" t="e">
        <f>10/ListDatas3412[[#This Row],[10m (s)]]</f>
        <v>#DIV/0!</v>
      </c>
      <c r="AE9" s="12" t="e">
        <f>ListDatas3412[[#This Row],[m.s 10m]]*3.6</f>
        <v>#DIV/0!</v>
      </c>
      <c r="AF9" s="12" t="e">
        <f>20/ListDatas3412[[#This Row],[20m (s)]]</f>
        <v>#DIV/0!</v>
      </c>
      <c r="AG9" s="12" t="e">
        <f>ListDatas3412[[#This Row],[m.s 20m]]*3.6</f>
        <v>#DIV/0!</v>
      </c>
      <c r="AH9" s="12" t="e">
        <f>30/ListDatas3412[[#This Row],[30m (s)]]</f>
        <v>#DIV/0!</v>
      </c>
      <c r="AI9" s="12" t="e">
        <f>ListDatas3412[[#This Row],[m.s 30m]]*3.6</f>
        <v>#DIV/0!</v>
      </c>
      <c r="AJ9" s="12" t="e">
        <f>40/ListDatas3412[[#This Row],[40m (s)]]</f>
        <v>#DIV/0!</v>
      </c>
      <c r="AK9" s="12" t="e">
        <f>ListDatas3412[[#This Row],[m.s 40m]]*3.6</f>
        <v>#DIV/0!</v>
      </c>
      <c r="AL9" s="11"/>
      <c r="AN9" s="3"/>
      <c r="BF9" s="3"/>
      <c r="BH9" s="3"/>
    </row>
    <row r="10" spans="1:60" x14ac:dyDescent="0.25">
      <c r="A10" s="11" t="s">
        <v>43</v>
      </c>
      <c r="B10" s="11" t="s">
        <v>29</v>
      </c>
      <c r="C10" s="11" t="s">
        <v>355</v>
      </c>
      <c r="D10" s="11"/>
      <c r="E10" s="11"/>
      <c r="F10" s="39">
        <v>15.2</v>
      </c>
      <c r="G10" s="50">
        <v>840</v>
      </c>
      <c r="H10" s="50"/>
      <c r="I10" s="50"/>
      <c r="J10" s="51"/>
      <c r="K10" s="52"/>
      <c r="L10" s="11">
        <v>53</v>
      </c>
      <c r="M10" s="11" t="e">
        <f>ListDatas3412[[#This Row],[1RM DC]]/ListDatas3412[[#This Row],[Poids (kg)]]</f>
        <v>#DIV/0!</v>
      </c>
      <c r="N10" s="11">
        <v>60</v>
      </c>
      <c r="O10" s="11"/>
      <c r="P10" s="39"/>
      <c r="Q10" s="39"/>
      <c r="R10" s="11"/>
      <c r="S10" s="11">
        <v>1.84</v>
      </c>
      <c r="T10" s="11">
        <v>3.28</v>
      </c>
      <c r="U10" s="11">
        <v>4.6399999999999997</v>
      </c>
      <c r="V10" s="11">
        <v>6.09</v>
      </c>
      <c r="W10" s="11">
        <f>ListDatas3412[[#This Row],[10m (s)]]</f>
        <v>1.84</v>
      </c>
      <c r="X10" s="11">
        <f>ListDatas3412[[#This Row],[20m (s)]]-ListDatas3412[[#This Row],[10m (s)]]</f>
        <v>1.4399999999999997</v>
      </c>
      <c r="Y10" s="36">
        <f>ListDatas3412[[#This Row],[30m (s)]]-ListDatas3412[[#This Row],[20m (s)]]</f>
        <v>1.3599999999999999</v>
      </c>
      <c r="Z10" s="11">
        <f>ListDatas3412[[#This Row],[40m (s)]]-ListDatas3412[[#This Row],[30m (s)]]</f>
        <v>1.4500000000000002</v>
      </c>
      <c r="AA10" s="12">
        <f>10/ListDatas3412[[#This Row],[10m - 20m]]</f>
        <v>6.9444444444444455</v>
      </c>
      <c r="AB10" s="12">
        <f>10/ListDatas3412[[#This Row],[20-30m]]</f>
        <v>7.3529411764705888</v>
      </c>
      <c r="AC10" s="12">
        <f>10/ListDatas3412[[#This Row],[30-40m]]</f>
        <v>6.8965517241379306</v>
      </c>
      <c r="AD10" s="12">
        <f>10/ListDatas3412[[#This Row],[10m (s)]]</f>
        <v>5.4347826086956523</v>
      </c>
      <c r="AE10" s="12">
        <f>ListDatas3412[[#This Row],[m.s 10m]]*3.6</f>
        <v>19.565217391304348</v>
      </c>
      <c r="AF10" s="12">
        <f>20/ListDatas3412[[#This Row],[20m (s)]]</f>
        <v>6.0975609756097562</v>
      </c>
      <c r="AG10" s="12">
        <f>ListDatas3412[[#This Row],[m.s 20m]]*3.6</f>
        <v>21.951219512195124</v>
      </c>
      <c r="AH10" s="12">
        <f>30/ListDatas3412[[#This Row],[30m (s)]]</f>
        <v>6.4655172413793105</v>
      </c>
      <c r="AI10" s="12">
        <f>ListDatas3412[[#This Row],[m.s 30m]]*3.6</f>
        <v>23.27586206896552</v>
      </c>
      <c r="AJ10" s="12">
        <f>40/ListDatas3412[[#This Row],[40m (s)]]</f>
        <v>6.5681444991789819</v>
      </c>
      <c r="AK10" s="12">
        <f>ListDatas3412[[#This Row],[m.s 40m]]*3.6</f>
        <v>23.645320197044335</v>
      </c>
      <c r="AL10" s="11">
        <v>187</v>
      </c>
      <c r="AN10" s="3"/>
      <c r="BF10" s="3"/>
      <c r="BH10" s="3"/>
    </row>
    <row r="11" spans="1:60" x14ac:dyDescent="0.25">
      <c r="A11" s="13" t="s">
        <v>58</v>
      </c>
      <c r="B11" s="11" t="s">
        <v>45</v>
      </c>
      <c r="C11" s="11" t="s">
        <v>355</v>
      </c>
      <c r="D11" s="11"/>
      <c r="E11" s="11"/>
      <c r="F11" s="39"/>
      <c r="G11" s="50"/>
      <c r="H11" s="50"/>
      <c r="I11" s="50"/>
      <c r="J11" s="51"/>
      <c r="K11" s="52"/>
      <c r="L11" s="11">
        <v>55</v>
      </c>
      <c r="M11" s="11" t="e">
        <f>ListDatas3412[[#This Row],[1RM DC]]/ListDatas3412[[#This Row],[Poids (kg)]]</f>
        <v>#DIV/0!</v>
      </c>
      <c r="N11" s="11">
        <v>57.5</v>
      </c>
      <c r="O11" s="11"/>
      <c r="P11" s="39"/>
      <c r="Q11" s="39"/>
      <c r="R11" s="11"/>
      <c r="S11" s="11"/>
      <c r="T11" s="11"/>
      <c r="U11" s="11"/>
      <c r="V11" s="11"/>
      <c r="W11" s="11">
        <f>ListDatas3412[[#This Row],[10m (s)]]</f>
        <v>0</v>
      </c>
      <c r="X11" s="11">
        <f>ListDatas3412[[#This Row],[20m (s)]]-ListDatas3412[[#This Row],[10m (s)]]</f>
        <v>0</v>
      </c>
      <c r="Y11" s="11">
        <f>ListDatas3412[[#This Row],[30m (s)]]-ListDatas3412[[#This Row],[20m (s)]]</f>
        <v>0</v>
      </c>
      <c r="Z11" s="11">
        <f>ListDatas3412[[#This Row],[40m (s)]]-ListDatas3412[[#This Row],[30m (s)]]</f>
        <v>0</v>
      </c>
      <c r="AA11" s="12" t="e">
        <f>10/ListDatas3412[[#This Row],[10m - 20m]]</f>
        <v>#DIV/0!</v>
      </c>
      <c r="AB11" s="12" t="e">
        <f>10/ListDatas3412[[#This Row],[20-30m]]</f>
        <v>#DIV/0!</v>
      </c>
      <c r="AC11" s="12" t="e">
        <f>10/ListDatas3412[[#This Row],[30-40m]]</f>
        <v>#DIV/0!</v>
      </c>
      <c r="AD11" s="12" t="e">
        <f>10/ListDatas3412[[#This Row],[10m (s)]]</f>
        <v>#DIV/0!</v>
      </c>
      <c r="AE11" s="12" t="e">
        <f>ListDatas3412[[#This Row],[m.s 10m]]*3.6</f>
        <v>#DIV/0!</v>
      </c>
      <c r="AF11" s="12" t="e">
        <f>20/ListDatas3412[[#This Row],[20m (s)]]</f>
        <v>#DIV/0!</v>
      </c>
      <c r="AG11" s="12" t="e">
        <f>ListDatas3412[[#This Row],[m.s 20m]]*3.6</f>
        <v>#DIV/0!</v>
      </c>
      <c r="AH11" s="12" t="e">
        <f>30/ListDatas3412[[#This Row],[30m (s)]]</f>
        <v>#DIV/0!</v>
      </c>
      <c r="AI11" s="12" t="e">
        <f>ListDatas3412[[#This Row],[m.s 30m]]*3.6</f>
        <v>#DIV/0!</v>
      </c>
      <c r="AJ11" s="12" t="e">
        <f>40/ListDatas3412[[#This Row],[40m (s)]]</f>
        <v>#DIV/0!</v>
      </c>
      <c r="AK11" s="12" t="e">
        <f>ListDatas3412[[#This Row],[m.s 40m]]*3.6</f>
        <v>#DIV/0!</v>
      </c>
      <c r="AL11" s="11"/>
      <c r="AN11" s="3"/>
      <c r="BF11" s="3"/>
      <c r="BH11" s="3"/>
    </row>
    <row r="12" spans="1:60" x14ac:dyDescent="0.25">
      <c r="A12" s="11" t="s">
        <v>60</v>
      </c>
      <c r="B12" s="11" t="s">
        <v>49</v>
      </c>
      <c r="C12" s="11" t="s">
        <v>355</v>
      </c>
      <c r="D12" s="11"/>
      <c r="E12" s="11"/>
      <c r="F12" s="39"/>
      <c r="G12" s="50"/>
      <c r="H12" s="50"/>
      <c r="I12" s="50"/>
      <c r="J12" s="51"/>
      <c r="K12" s="52"/>
      <c r="L12" s="11">
        <v>35</v>
      </c>
      <c r="M12" s="11" t="e">
        <f>ListDatas3412[[#This Row],[1RM DC]]/ListDatas3412[[#This Row],[Poids (kg)]]</f>
        <v>#DIV/0!</v>
      </c>
      <c r="N12" s="11">
        <v>45</v>
      </c>
      <c r="O12" s="11"/>
      <c r="P12" s="39"/>
      <c r="Q12" s="39"/>
      <c r="R12" s="11"/>
      <c r="S12" s="11">
        <v>2.11</v>
      </c>
      <c r="T12" s="11">
        <v>3.66</v>
      </c>
      <c r="U12" s="11">
        <v>5.19</v>
      </c>
      <c r="V12" s="11">
        <v>6.79</v>
      </c>
      <c r="W12" s="11">
        <f>ListDatas3412[[#This Row],[10m (s)]]</f>
        <v>2.11</v>
      </c>
      <c r="X12" s="11">
        <f>ListDatas3412[[#This Row],[20m (s)]]-ListDatas3412[[#This Row],[10m (s)]]</f>
        <v>1.5500000000000003</v>
      </c>
      <c r="Y12" s="36">
        <f>ListDatas3412[[#This Row],[30m (s)]]-ListDatas3412[[#This Row],[20m (s)]]</f>
        <v>1.5300000000000002</v>
      </c>
      <c r="Z12" s="11">
        <f>ListDatas3412[[#This Row],[40m (s)]]-ListDatas3412[[#This Row],[30m (s)]]</f>
        <v>1.5999999999999996</v>
      </c>
      <c r="AA12" s="12">
        <f>10/ListDatas3412[[#This Row],[10m - 20m]]</f>
        <v>6.4516129032258052</v>
      </c>
      <c r="AB12" s="12">
        <f>10/ListDatas3412[[#This Row],[20-30m]]</f>
        <v>6.5359477124182996</v>
      </c>
      <c r="AC12" s="12">
        <f>10/ListDatas3412[[#This Row],[30-40m]]</f>
        <v>6.2500000000000018</v>
      </c>
      <c r="AD12" s="12">
        <f>10/ListDatas3412[[#This Row],[10m (s)]]</f>
        <v>4.7393364928909953</v>
      </c>
      <c r="AE12" s="12">
        <f>ListDatas3412[[#This Row],[m.s 10m]]*3.6</f>
        <v>17.061611374407583</v>
      </c>
      <c r="AF12" s="12">
        <f>20/ListDatas3412[[#This Row],[20m (s)]]</f>
        <v>5.4644808743169397</v>
      </c>
      <c r="AG12" s="12">
        <f>ListDatas3412[[#This Row],[m.s 20m]]*3.6</f>
        <v>19.672131147540984</v>
      </c>
      <c r="AH12" s="12">
        <f>30/ListDatas3412[[#This Row],[30m (s)]]</f>
        <v>5.7803468208092479</v>
      </c>
      <c r="AI12" s="12">
        <f>ListDatas3412[[#This Row],[m.s 30m]]*3.6</f>
        <v>20.809248554913292</v>
      </c>
      <c r="AJ12" s="12">
        <f>40/ListDatas3412[[#This Row],[40m (s)]]</f>
        <v>5.8910162002945512</v>
      </c>
      <c r="AK12" s="12">
        <f>ListDatas3412[[#This Row],[m.s 40m]]*3.6</f>
        <v>21.207658321060386</v>
      </c>
      <c r="AL12" s="11"/>
      <c r="AN12" s="3"/>
      <c r="BF12" s="3"/>
      <c r="BH12" s="3"/>
    </row>
    <row r="13" spans="1:60" x14ac:dyDescent="0.25">
      <c r="A13" s="11" t="s">
        <v>50</v>
      </c>
      <c r="B13" s="11" t="s">
        <v>36</v>
      </c>
      <c r="C13" s="11" t="s">
        <v>355</v>
      </c>
      <c r="D13" s="11"/>
      <c r="E13" s="11"/>
      <c r="F13" s="39">
        <v>15.3</v>
      </c>
      <c r="G13" s="50">
        <v>880</v>
      </c>
      <c r="H13" s="50"/>
      <c r="I13" s="50"/>
      <c r="J13" s="51"/>
      <c r="K13" s="52"/>
      <c r="L13" s="11">
        <v>40</v>
      </c>
      <c r="M13" s="11" t="e">
        <f>ListDatas3412[[#This Row],[1RM DC]]/ListDatas3412[[#This Row],[Poids (kg)]]</f>
        <v>#DIV/0!</v>
      </c>
      <c r="N13" s="11">
        <v>40</v>
      </c>
      <c r="O13" s="11"/>
      <c r="P13" s="39"/>
      <c r="Q13" s="39"/>
      <c r="R13" s="11"/>
      <c r="S13" s="11">
        <v>1.87</v>
      </c>
      <c r="T13" s="11">
        <v>3.27</v>
      </c>
      <c r="U13" s="11">
        <v>4.6100000000000003</v>
      </c>
      <c r="V13" s="11">
        <v>6.06</v>
      </c>
      <c r="W13" s="11">
        <f>ListDatas3412[[#This Row],[10m (s)]]</f>
        <v>1.87</v>
      </c>
      <c r="X13" s="11">
        <f>ListDatas3412[[#This Row],[20m (s)]]-ListDatas3412[[#This Row],[10m (s)]]</f>
        <v>1.4</v>
      </c>
      <c r="Y13" s="36">
        <f>ListDatas3412[[#This Row],[30m (s)]]-ListDatas3412[[#This Row],[20m (s)]]</f>
        <v>1.3400000000000003</v>
      </c>
      <c r="Z13" s="11">
        <f>ListDatas3412[[#This Row],[40m (s)]]-ListDatas3412[[#This Row],[30m (s)]]</f>
        <v>1.4499999999999993</v>
      </c>
      <c r="AA13" s="12">
        <f>10/ListDatas3412[[#This Row],[10m - 20m]]</f>
        <v>7.1428571428571432</v>
      </c>
      <c r="AB13" s="12">
        <f>10/ListDatas3412[[#This Row],[20-30m]]</f>
        <v>7.4626865671641776</v>
      </c>
      <c r="AC13" s="12">
        <f>10/ListDatas3412[[#This Row],[30-40m]]</f>
        <v>6.8965517241379342</v>
      </c>
      <c r="AD13" s="12">
        <f>10/ListDatas3412[[#This Row],[10m (s)]]</f>
        <v>5.3475935828877006</v>
      </c>
      <c r="AE13" s="12">
        <f>ListDatas3412[[#This Row],[m.s 10m]]*3.6</f>
        <v>19.251336898395724</v>
      </c>
      <c r="AF13" s="12">
        <f>20/ListDatas3412[[#This Row],[20m (s)]]</f>
        <v>6.1162079510703364</v>
      </c>
      <c r="AG13" s="12">
        <f>ListDatas3412[[#This Row],[m.s 20m]]*3.6</f>
        <v>22.01834862385321</v>
      </c>
      <c r="AH13" s="12">
        <f>30/ListDatas3412[[#This Row],[30m (s)]]</f>
        <v>6.5075921908893708</v>
      </c>
      <c r="AI13" s="12">
        <f>ListDatas3412[[#This Row],[m.s 30m]]*3.6</f>
        <v>23.427331887201735</v>
      </c>
      <c r="AJ13" s="12">
        <f>40/ListDatas3412[[#This Row],[40m (s)]]</f>
        <v>6.6006600660066015</v>
      </c>
      <c r="AK13" s="12">
        <f>ListDatas3412[[#This Row],[m.s 40m]]*3.6</f>
        <v>23.762376237623766</v>
      </c>
      <c r="AL13" s="11">
        <v>200</v>
      </c>
      <c r="AN13" s="3"/>
      <c r="BF13" s="3"/>
      <c r="BH13" s="3"/>
    </row>
    <row r="14" spans="1:60" x14ac:dyDescent="0.25">
      <c r="A14" s="11" t="s">
        <v>57</v>
      </c>
      <c r="B14" s="11" t="s">
        <v>29</v>
      </c>
      <c r="C14" s="11" t="s">
        <v>355</v>
      </c>
      <c r="D14" s="11"/>
      <c r="E14" s="11"/>
      <c r="F14" s="39">
        <v>14.5</v>
      </c>
      <c r="G14" s="50">
        <v>640</v>
      </c>
      <c r="H14" s="50"/>
      <c r="I14" s="50"/>
      <c r="J14" s="51"/>
      <c r="K14" s="52"/>
      <c r="L14" s="11">
        <v>42.5</v>
      </c>
      <c r="M14" s="11" t="e">
        <f>ListDatas3412[[#This Row],[1RM DC]]/ListDatas3412[[#This Row],[Poids (kg)]]</f>
        <v>#DIV/0!</v>
      </c>
      <c r="N14" s="11">
        <v>55</v>
      </c>
      <c r="O14" s="11"/>
      <c r="P14" s="39"/>
      <c r="Q14" s="39"/>
      <c r="R14" s="11"/>
      <c r="S14" s="11">
        <v>1.96</v>
      </c>
      <c r="T14" s="11">
        <v>3.47</v>
      </c>
      <c r="U14" s="11">
        <v>4.93</v>
      </c>
      <c r="V14" s="11">
        <v>6.53</v>
      </c>
      <c r="W14" s="11">
        <f>ListDatas3412[[#This Row],[10m (s)]]</f>
        <v>1.96</v>
      </c>
      <c r="X14" s="11">
        <f>ListDatas3412[[#This Row],[20m (s)]]-ListDatas3412[[#This Row],[10m (s)]]</f>
        <v>1.5100000000000002</v>
      </c>
      <c r="Y14" s="36">
        <f>ListDatas3412[[#This Row],[30m (s)]]-ListDatas3412[[#This Row],[20m (s)]]</f>
        <v>1.4599999999999995</v>
      </c>
      <c r="Z14" s="11">
        <f>ListDatas3412[[#This Row],[40m (s)]]-ListDatas3412[[#This Row],[30m (s)]]</f>
        <v>1.6000000000000005</v>
      </c>
      <c r="AA14" s="12">
        <f>10/ListDatas3412[[#This Row],[10m - 20m]]</f>
        <v>6.6225165562913899</v>
      </c>
      <c r="AB14" s="12">
        <f>10/ListDatas3412[[#This Row],[20-30m]]</f>
        <v>6.8493150684931532</v>
      </c>
      <c r="AC14" s="12">
        <f>10/ListDatas3412[[#This Row],[30-40m]]</f>
        <v>6.2499999999999982</v>
      </c>
      <c r="AD14" s="12">
        <f>10/ListDatas3412[[#This Row],[10m (s)]]</f>
        <v>5.1020408163265305</v>
      </c>
      <c r="AE14" s="12">
        <f>ListDatas3412[[#This Row],[m.s 10m]]*3.6</f>
        <v>18.367346938775512</v>
      </c>
      <c r="AF14" s="12">
        <f>20/ListDatas3412[[#This Row],[20m (s)]]</f>
        <v>5.7636887608069163</v>
      </c>
      <c r="AG14" s="12">
        <f>ListDatas3412[[#This Row],[m.s 20m]]*3.6</f>
        <v>20.749279538904901</v>
      </c>
      <c r="AH14" s="12">
        <f>30/ListDatas3412[[#This Row],[30m (s)]]</f>
        <v>6.0851926977687629</v>
      </c>
      <c r="AI14" s="12">
        <f>ListDatas3412[[#This Row],[m.s 30m]]*3.6</f>
        <v>21.906693711967549</v>
      </c>
      <c r="AJ14" s="12">
        <f>40/ListDatas3412[[#This Row],[40m (s)]]</f>
        <v>6.1255742725880546</v>
      </c>
      <c r="AK14" s="12">
        <f>ListDatas3412[[#This Row],[m.s 40m]]*3.6</f>
        <v>22.052067381316999</v>
      </c>
      <c r="AL14" s="11">
        <v>178</v>
      </c>
      <c r="AN14" s="3"/>
      <c r="BF14" s="3"/>
      <c r="BH14" s="3"/>
    </row>
    <row r="15" spans="1:60" x14ac:dyDescent="0.25">
      <c r="A15" s="11" t="s">
        <v>26</v>
      </c>
      <c r="B15" s="11" t="s">
        <v>296</v>
      </c>
      <c r="C15" s="11" t="s">
        <v>355</v>
      </c>
      <c r="D15" s="11"/>
      <c r="E15" s="11"/>
      <c r="F15" s="39"/>
      <c r="G15" s="50"/>
      <c r="H15" s="50"/>
      <c r="I15" s="50"/>
      <c r="J15" s="51"/>
      <c r="K15" s="52"/>
      <c r="L15" s="11"/>
      <c r="M15" s="11" t="e">
        <f>ListDatas3412[[#This Row],[1RM DC]]/ListDatas3412[[#This Row],[Poids (kg)]]</f>
        <v>#DIV/0!</v>
      </c>
      <c r="N15" s="11"/>
      <c r="O15" s="11"/>
      <c r="P15" s="39"/>
      <c r="Q15" s="39"/>
      <c r="R15" s="11"/>
      <c r="S15" s="11">
        <v>1.79</v>
      </c>
      <c r="T15" s="11">
        <v>3.11</v>
      </c>
      <c r="U15" s="11">
        <v>4.3899999999999997</v>
      </c>
      <c r="V15" s="11">
        <v>5.71</v>
      </c>
      <c r="W15" s="11">
        <f>ListDatas3412[[#This Row],[10m (s)]]</f>
        <v>1.79</v>
      </c>
      <c r="X15" s="11">
        <f>ListDatas3412[[#This Row],[20m (s)]]-ListDatas3412[[#This Row],[10m (s)]]</f>
        <v>1.3199999999999998</v>
      </c>
      <c r="Y15" s="36">
        <f>ListDatas3412[[#This Row],[30m (s)]]-ListDatas3412[[#This Row],[20m (s)]]</f>
        <v>1.2799999999999998</v>
      </c>
      <c r="Z15" s="11">
        <f>ListDatas3412[[#This Row],[40m (s)]]-ListDatas3412[[#This Row],[30m (s)]]</f>
        <v>1.3200000000000003</v>
      </c>
      <c r="AA15" s="12">
        <f>10/ListDatas3412[[#This Row],[10m - 20m]]</f>
        <v>7.575757575757577</v>
      </c>
      <c r="AB15" s="12">
        <f>10/ListDatas3412[[#This Row],[20-30m]]</f>
        <v>7.8125000000000009</v>
      </c>
      <c r="AC15" s="12">
        <f>10/ListDatas3412[[#This Row],[30-40m]]</f>
        <v>7.5757575757575744</v>
      </c>
      <c r="AD15" s="12">
        <f>10/ListDatas3412[[#This Row],[10m (s)]]</f>
        <v>5.5865921787709496</v>
      </c>
      <c r="AE15" s="12">
        <f>ListDatas3412[[#This Row],[m.s 10m]]*3.6</f>
        <v>20.11173184357542</v>
      </c>
      <c r="AF15" s="12">
        <f>20/ListDatas3412[[#This Row],[20m (s)]]</f>
        <v>6.4308681672025729</v>
      </c>
      <c r="AG15" s="12">
        <f>ListDatas3412[[#This Row],[m.s 20m]]*3.6</f>
        <v>23.151125401929264</v>
      </c>
      <c r="AH15" s="12">
        <f>30/ListDatas3412[[#This Row],[30m (s)]]</f>
        <v>6.83371298405467</v>
      </c>
      <c r="AI15" s="12">
        <f>ListDatas3412[[#This Row],[m.s 30m]]*3.6</f>
        <v>24.601366742596813</v>
      </c>
      <c r="AJ15" s="12">
        <f>40/ListDatas3412[[#This Row],[40m (s)]]</f>
        <v>7.0052539404553418</v>
      </c>
      <c r="AK15" s="12">
        <f>ListDatas3412[[#This Row],[m.s 40m]]*3.6</f>
        <v>25.218914185639232</v>
      </c>
      <c r="AL15" s="11">
        <v>215</v>
      </c>
      <c r="AN15" s="3"/>
      <c r="BF15" s="3"/>
      <c r="BH15" s="3"/>
    </row>
    <row r="16" spans="1:60" x14ac:dyDescent="0.25">
      <c r="A16" s="11" t="s">
        <v>55</v>
      </c>
      <c r="B16" s="11" t="s">
        <v>45</v>
      </c>
      <c r="C16" s="11" t="s">
        <v>355</v>
      </c>
      <c r="D16" s="11"/>
      <c r="E16" s="11"/>
      <c r="F16" s="39">
        <v>14.3</v>
      </c>
      <c r="G16" s="50">
        <v>560</v>
      </c>
      <c r="H16" s="50"/>
      <c r="I16" s="50"/>
      <c r="J16" s="51"/>
      <c r="K16" s="52"/>
      <c r="L16" s="11">
        <v>60</v>
      </c>
      <c r="M16" s="11" t="e">
        <f>ListDatas3412[[#This Row],[1RM DC]]/ListDatas3412[[#This Row],[Poids (kg)]]</f>
        <v>#DIV/0!</v>
      </c>
      <c r="N16" s="11">
        <v>60</v>
      </c>
      <c r="O16" s="11"/>
      <c r="P16" s="39"/>
      <c r="Q16" s="39"/>
      <c r="R16" s="11"/>
      <c r="S16" s="38">
        <v>1.95</v>
      </c>
      <c r="T16" s="38">
        <v>3.45</v>
      </c>
      <c r="U16" s="38">
        <v>4.8899999999999997</v>
      </c>
      <c r="V16" s="38">
        <v>6.43</v>
      </c>
      <c r="W16" s="38">
        <f>ListDatas3412[[#This Row],[10m (s)]]</f>
        <v>1.95</v>
      </c>
      <c r="X16" s="38">
        <f>ListDatas3412[[#This Row],[20m (s)]]-ListDatas3412[[#This Row],[10m (s)]]</f>
        <v>1.5000000000000002</v>
      </c>
      <c r="Y16" s="36">
        <f>ListDatas3412[[#This Row],[30m (s)]]-ListDatas3412[[#This Row],[20m (s)]]</f>
        <v>1.4399999999999995</v>
      </c>
      <c r="Z16" s="38">
        <f>ListDatas3412[[#This Row],[40m (s)]]-ListDatas3412[[#This Row],[30m (s)]]</f>
        <v>1.54</v>
      </c>
      <c r="AA16" s="12">
        <f>10/ListDatas3412[[#This Row],[10m - 20m]]</f>
        <v>6.6666666666666661</v>
      </c>
      <c r="AB16" s="12">
        <f>10/ListDatas3412[[#This Row],[20-30m]]</f>
        <v>6.9444444444444464</v>
      </c>
      <c r="AC16" s="12">
        <f>10/ListDatas3412[[#This Row],[30-40m]]</f>
        <v>6.4935064935064934</v>
      </c>
      <c r="AD16" s="12">
        <f>10/ListDatas3412[[#This Row],[10m (s)]]</f>
        <v>5.1282051282051286</v>
      </c>
      <c r="AE16" s="12">
        <f>ListDatas3412[[#This Row],[m.s 10m]]*3.6</f>
        <v>18.461538461538463</v>
      </c>
      <c r="AF16" s="12">
        <f>20/ListDatas3412[[#This Row],[20m (s)]]</f>
        <v>5.7971014492753623</v>
      </c>
      <c r="AG16" s="12">
        <f>ListDatas3412[[#This Row],[m.s 20m]]*3.6</f>
        <v>20.869565217391305</v>
      </c>
      <c r="AH16" s="12">
        <f>30/ListDatas3412[[#This Row],[30m (s)]]</f>
        <v>6.1349693251533743</v>
      </c>
      <c r="AI16" s="12">
        <f>ListDatas3412[[#This Row],[m.s 30m]]*3.6</f>
        <v>22.085889570552148</v>
      </c>
      <c r="AJ16" s="12">
        <f>40/ListDatas3412[[#This Row],[40m (s)]]</f>
        <v>6.2208398133748055</v>
      </c>
      <c r="AK16" s="12">
        <f>ListDatas3412[[#This Row],[m.s 40m]]*3.6</f>
        <v>22.3950233281493</v>
      </c>
      <c r="AL16" s="11">
        <v>163</v>
      </c>
      <c r="AN16" s="3"/>
      <c r="BF16" s="3"/>
      <c r="BH16" s="3"/>
    </row>
    <row r="17" spans="1:62" x14ac:dyDescent="0.25">
      <c r="A17" s="11" t="s">
        <v>41</v>
      </c>
      <c r="B17" s="11" t="s">
        <v>29</v>
      </c>
      <c r="C17" s="11" t="s">
        <v>355</v>
      </c>
      <c r="D17" s="11"/>
      <c r="E17" s="11"/>
      <c r="F17" s="39">
        <v>15.4</v>
      </c>
      <c r="G17" s="50">
        <v>920</v>
      </c>
      <c r="H17" s="50"/>
      <c r="I17" s="50"/>
      <c r="J17" s="51"/>
      <c r="K17" s="52"/>
      <c r="L17" s="11">
        <v>62.5</v>
      </c>
      <c r="M17" s="11" t="e">
        <f>ListDatas3412[[#This Row],[1RM DC]]/ListDatas3412[[#This Row],[Poids (kg)]]</f>
        <v>#DIV/0!</v>
      </c>
      <c r="N17" s="11">
        <v>67.5</v>
      </c>
      <c r="O17" s="11"/>
      <c r="P17" s="39"/>
      <c r="Q17" s="39"/>
      <c r="R17" s="11"/>
      <c r="S17" s="11">
        <v>1.9</v>
      </c>
      <c r="T17" s="11">
        <v>3.3</v>
      </c>
      <c r="U17" s="11">
        <v>4.63</v>
      </c>
      <c r="V17" s="11">
        <v>5.95</v>
      </c>
      <c r="W17" s="11">
        <f>ListDatas3412[[#This Row],[10m (s)]]</f>
        <v>1.9</v>
      </c>
      <c r="X17" s="11">
        <f>ListDatas3412[[#This Row],[20m (s)]]-ListDatas3412[[#This Row],[10m (s)]]</f>
        <v>1.4</v>
      </c>
      <c r="Y17" s="11">
        <f>ListDatas3412[[#This Row],[30m (s)]]-ListDatas3412[[#This Row],[20m (s)]]</f>
        <v>1.33</v>
      </c>
      <c r="Z17" s="36">
        <f>ListDatas3412[[#This Row],[40m (s)]]-ListDatas3412[[#This Row],[30m (s)]]</f>
        <v>1.3200000000000003</v>
      </c>
      <c r="AA17" s="12">
        <f>10/ListDatas3412[[#This Row],[10m - 20m]]</f>
        <v>7.1428571428571432</v>
      </c>
      <c r="AB17" s="12">
        <f>10/ListDatas3412[[#This Row],[20-30m]]</f>
        <v>7.518796992481203</v>
      </c>
      <c r="AC17" s="12">
        <f>10/ListDatas3412[[#This Row],[30-40m]]</f>
        <v>7.5757575757575744</v>
      </c>
      <c r="AD17" s="12">
        <f>10/ListDatas3412[[#This Row],[10m (s)]]</f>
        <v>5.2631578947368425</v>
      </c>
      <c r="AE17" s="12">
        <f>ListDatas3412[[#This Row],[m.s 10m]]*3.6</f>
        <v>18.947368421052634</v>
      </c>
      <c r="AF17" s="12">
        <f>20/ListDatas3412[[#This Row],[20m (s)]]</f>
        <v>6.0606060606060606</v>
      </c>
      <c r="AG17" s="12">
        <f>ListDatas3412[[#This Row],[m.s 20m]]*3.6</f>
        <v>21.81818181818182</v>
      </c>
      <c r="AH17" s="12">
        <f>30/ListDatas3412[[#This Row],[30m (s)]]</f>
        <v>6.4794816414686824</v>
      </c>
      <c r="AI17" s="12">
        <f>ListDatas3412[[#This Row],[m.s 30m]]*3.6</f>
        <v>23.326133909287257</v>
      </c>
      <c r="AJ17" s="12">
        <f>40/ListDatas3412[[#This Row],[40m (s)]]</f>
        <v>6.7226890756302522</v>
      </c>
      <c r="AK17" s="12">
        <f>ListDatas3412[[#This Row],[m.s 40m]]*3.6</f>
        <v>24.201680672268907</v>
      </c>
      <c r="AL17" s="11"/>
      <c r="AN17" s="3"/>
      <c r="BF17" s="3"/>
      <c r="BH17" s="3"/>
    </row>
    <row r="18" spans="1:62" x14ac:dyDescent="0.25">
      <c r="A18" s="11" t="s">
        <v>47</v>
      </c>
      <c r="B18" s="11" t="s">
        <v>45</v>
      </c>
      <c r="C18" s="11" t="s">
        <v>355</v>
      </c>
      <c r="D18" s="11"/>
      <c r="E18" s="11"/>
      <c r="F18" s="11">
        <v>15.1</v>
      </c>
      <c r="G18" s="18">
        <v>800</v>
      </c>
      <c r="H18" s="18"/>
      <c r="I18" s="18"/>
      <c r="J18" s="31"/>
      <c r="K18" s="33"/>
      <c r="L18" s="11">
        <v>55</v>
      </c>
      <c r="M18" s="11" t="e">
        <f>ListDatas3412[[#This Row],[1RM DC]]/ListDatas3412[[#This Row],[Poids (kg)]]</f>
        <v>#DIV/0!</v>
      </c>
      <c r="N18" s="11">
        <v>55</v>
      </c>
      <c r="O18" s="11"/>
      <c r="P18" s="39"/>
      <c r="Q18" s="39"/>
      <c r="R18" s="11"/>
      <c r="S18" s="11">
        <v>1.93</v>
      </c>
      <c r="T18" s="11">
        <v>3.4</v>
      </c>
      <c r="U18" s="11">
        <v>4.8099999999999996</v>
      </c>
      <c r="V18" s="11">
        <v>6.34</v>
      </c>
      <c r="W18" s="11">
        <f>ListDatas3412[[#This Row],[10m (s)]]</f>
        <v>1.93</v>
      </c>
      <c r="X18" s="11">
        <f>ListDatas3412[[#This Row],[20m (s)]]-ListDatas3412[[#This Row],[10m (s)]]</f>
        <v>1.47</v>
      </c>
      <c r="Y18" s="36">
        <f>ListDatas3412[[#This Row],[30m (s)]]-ListDatas3412[[#This Row],[20m (s)]]</f>
        <v>1.4099999999999997</v>
      </c>
      <c r="Z18" s="11">
        <f>ListDatas3412[[#This Row],[40m (s)]]-ListDatas3412[[#This Row],[30m (s)]]</f>
        <v>1.5300000000000002</v>
      </c>
      <c r="AA18" s="12">
        <f>10/ListDatas3412[[#This Row],[10m - 20m]]</f>
        <v>6.8027210884353746</v>
      </c>
      <c r="AB18" s="12">
        <f>10/ListDatas3412[[#This Row],[20-30m]]</f>
        <v>7.092198581560285</v>
      </c>
      <c r="AC18" s="12">
        <f>10/ListDatas3412[[#This Row],[30-40m]]</f>
        <v>6.5359477124182996</v>
      </c>
      <c r="AD18" s="12">
        <f>10/ListDatas3412[[#This Row],[10m (s)]]</f>
        <v>5.1813471502590671</v>
      </c>
      <c r="AE18" s="12">
        <f>ListDatas3412[[#This Row],[m.s 10m]]*3.6</f>
        <v>18.652849740932641</v>
      </c>
      <c r="AF18" s="12">
        <f>20/ListDatas3412[[#This Row],[20m (s)]]</f>
        <v>5.882352941176471</v>
      </c>
      <c r="AG18" s="12">
        <f>ListDatas3412[[#This Row],[m.s 20m]]*3.6</f>
        <v>21.176470588235297</v>
      </c>
      <c r="AH18" s="12">
        <f>30/ListDatas3412[[#This Row],[30m (s)]]</f>
        <v>6.2370062370062378</v>
      </c>
      <c r="AI18" s="12">
        <f>ListDatas3412[[#This Row],[m.s 30m]]*3.6</f>
        <v>22.453222453222455</v>
      </c>
      <c r="AJ18" s="12">
        <f>40/ListDatas3412[[#This Row],[40m (s)]]</f>
        <v>6.309148264984227</v>
      </c>
      <c r="AK18" s="12">
        <f>ListDatas3412[[#This Row],[m.s 40m]]*3.6</f>
        <v>22.712933753943219</v>
      </c>
      <c r="AL18" s="11">
        <v>196</v>
      </c>
      <c r="AN18" s="3"/>
      <c r="BF18" s="3"/>
      <c r="BH18" s="3"/>
    </row>
    <row r="19" spans="1:62" ht="18.75" x14ac:dyDescent="0.3">
      <c r="A19" s="11" t="s">
        <v>46</v>
      </c>
      <c r="B19" s="11" t="s">
        <v>45</v>
      </c>
      <c r="C19" s="11" t="s">
        <v>355</v>
      </c>
      <c r="D19" s="11"/>
      <c r="E19" s="11"/>
      <c r="F19" s="11">
        <v>13.2</v>
      </c>
      <c r="G19" s="18">
        <v>360</v>
      </c>
      <c r="H19" s="18"/>
      <c r="I19" s="18"/>
      <c r="J19" s="31"/>
      <c r="K19" s="33"/>
      <c r="L19" s="11">
        <v>50</v>
      </c>
      <c r="M19" s="11" t="e">
        <f>ListDatas3412[[#This Row],[1RM DC]]/ListDatas3412[[#This Row],[Poids (kg)]]</f>
        <v>#DIV/0!</v>
      </c>
      <c r="N19" s="11">
        <v>55</v>
      </c>
      <c r="O19" s="11"/>
      <c r="P19" s="39"/>
      <c r="Q19" s="39"/>
      <c r="R19" s="11"/>
      <c r="S19" s="37">
        <v>1.93</v>
      </c>
      <c r="T19" s="37">
        <v>3.39</v>
      </c>
      <c r="U19" s="37">
        <v>4.8099999999999996</v>
      </c>
      <c r="V19" s="37">
        <v>6.34</v>
      </c>
      <c r="W19" s="37">
        <f>ListDatas3412[[#This Row],[10m (s)]]</f>
        <v>1.93</v>
      </c>
      <c r="X19" s="37">
        <f>ListDatas3412[[#This Row],[20m (s)]]-ListDatas3412[[#This Row],[10m (s)]]</f>
        <v>1.4600000000000002</v>
      </c>
      <c r="Y19" s="37">
        <f>ListDatas3412[[#This Row],[30m (s)]]-ListDatas3412[[#This Row],[20m (s)]]</f>
        <v>1.4199999999999995</v>
      </c>
      <c r="Z19" s="36">
        <f>ListDatas3412[[#This Row],[40m (s)]]-ListDatas3412[[#This Row],[30m (s)]]</f>
        <v>1.5300000000000002</v>
      </c>
      <c r="AA19" s="12">
        <f>10/ListDatas3412[[#This Row],[10m - 20m]]</f>
        <v>6.8493150684931496</v>
      </c>
      <c r="AB19" s="12">
        <f>10/ListDatas3412[[#This Row],[20-30m]]</f>
        <v>7.0422535211267627</v>
      </c>
      <c r="AC19" s="12">
        <f>10/ListDatas3412[[#This Row],[30-40m]]</f>
        <v>6.5359477124182996</v>
      </c>
      <c r="AD19" s="12">
        <f>10/ListDatas3412[[#This Row],[10m (s)]]</f>
        <v>5.1813471502590671</v>
      </c>
      <c r="AE19" s="12">
        <f>ListDatas3412[[#This Row],[m.s 10m]]*3.6</f>
        <v>18.652849740932641</v>
      </c>
      <c r="AF19" s="12">
        <f>20/ListDatas3412[[#This Row],[20m (s)]]</f>
        <v>5.8997050147492622</v>
      </c>
      <c r="AG19" s="12">
        <f>ListDatas3412[[#This Row],[m.s 20m]]*3.6</f>
        <v>21.238938053097346</v>
      </c>
      <c r="AH19" s="12">
        <f>30/ListDatas3412[[#This Row],[30m (s)]]</f>
        <v>6.2370062370062378</v>
      </c>
      <c r="AI19" s="12">
        <f>ListDatas3412[[#This Row],[m.s 30m]]*3.6</f>
        <v>22.453222453222455</v>
      </c>
      <c r="AJ19" s="12">
        <f>40/ListDatas3412[[#This Row],[40m (s)]]</f>
        <v>6.309148264984227</v>
      </c>
      <c r="AK19" s="12">
        <f>ListDatas3412[[#This Row],[m.s 40m]]*3.6</f>
        <v>22.712933753943219</v>
      </c>
      <c r="AL19" s="11">
        <v>202</v>
      </c>
      <c r="AN19" s="3"/>
      <c r="AP19" s="9"/>
      <c r="BF19" s="3"/>
      <c r="BH19" s="3"/>
    </row>
    <row r="20" spans="1:62" x14ac:dyDescent="0.25">
      <c r="A20" s="11" t="s">
        <v>27</v>
      </c>
      <c r="B20" s="11" t="s">
        <v>295</v>
      </c>
      <c r="C20" s="11" t="s">
        <v>355</v>
      </c>
      <c r="D20" s="11"/>
      <c r="E20" s="11"/>
      <c r="F20" s="11"/>
      <c r="G20" s="18"/>
      <c r="H20" s="18"/>
      <c r="I20" s="18"/>
      <c r="J20" s="31"/>
      <c r="K20" s="33"/>
      <c r="L20" s="11">
        <v>55</v>
      </c>
      <c r="M20" s="11" t="e">
        <f>ListDatas3412[[#This Row],[1RM DC]]/ListDatas3412[[#This Row],[Poids (kg)]]</f>
        <v>#DIV/0!</v>
      </c>
      <c r="N20" s="11">
        <v>55</v>
      </c>
      <c r="O20" s="11"/>
      <c r="P20" s="39"/>
      <c r="Q20" s="39"/>
      <c r="R20" s="11"/>
      <c r="S20" s="11">
        <v>1.77</v>
      </c>
      <c r="T20" s="11">
        <v>3.09</v>
      </c>
      <c r="U20" s="11">
        <v>4.3499999999999996</v>
      </c>
      <c r="V20" s="11">
        <v>5.66</v>
      </c>
      <c r="W20" s="11">
        <f>ListDatas3412[[#This Row],[10m (s)]]</f>
        <v>1.77</v>
      </c>
      <c r="X20" s="11">
        <f>ListDatas3412[[#This Row],[20m (s)]]-ListDatas3412[[#This Row],[10m (s)]]</f>
        <v>1.3199999999999998</v>
      </c>
      <c r="Y20" s="36">
        <f>ListDatas3412[[#This Row],[30m (s)]]-ListDatas3412[[#This Row],[20m (s)]]</f>
        <v>1.2599999999999998</v>
      </c>
      <c r="Z20" s="11">
        <f>ListDatas3412[[#This Row],[40m (s)]]-ListDatas3412[[#This Row],[30m (s)]]</f>
        <v>1.3100000000000005</v>
      </c>
      <c r="AA20" s="12">
        <f>10/ListDatas3412[[#This Row],[10m - 20m]]</f>
        <v>7.575757575757577</v>
      </c>
      <c r="AB20" s="12">
        <f>10/ListDatas3412[[#This Row],[20-30m]]</f>
        <v>7.9365079365079376</v>
      </c>
      <c r="AC20" s="12">
        <f>10/ListDatas3412[[#This Row],[30-40m]]</f>
        <v>7.6335877862595387</v>
      </c>
      <c r="AD20" s="12">
        <f>10/ListDatas3412[[#This Row],[10m (s)]]</f>
        <v>5.6497175141242941</v>
      </c>
      <c r="AE20" s="12">
        <f>ListDatas3412[[#This Row],[m.s 10m]]*3.6</f>
        <v>20.33898305084746</v>
      </c>
      <c r="AF20" s="12">
        <f>20/ListDatas3412[[#This Row],[20m (s)]]</f>
        <v>6.4724919093851137</v>
      </c>
      <c r="AG20" s="12">
        <f>ListDatas3412[[#This Row],[m.s 20m]]*3.6</f>
        <v>23.300970873786408</v>
      </c>
      <c r="AH20" s="12">
        <f>30/ListDatas3412[[#This Row],[30m (s)]]</f>
        <v>6.8965517241379315</v>
      </c>
      <c r="AI20" s="12">
        <f>ListDatas3412[[#This Row],[m.s 30m]]*3.6</f>
        <v>24.827586206896555</v>
      </c>
      <c r="AJ20" s="12">
        <f>40/ListDatas3412[[#This Row],[40m (s)]]</f>
        <v>7.0671378091872787</v>
      </c>
      <c r="AK20" s="12">
        <f>ListDatas3412[[#This Row],[m.s 40m]]*3.6</f>
        <v>25.441696113074205</v>
      </c>
      <c r="AL20" s="11">
        <v>202</v>
      </c>
      <c r="AN20" s="3"/>
      <c r="BF20" s="3"/>
      <c r="BH20" s="3"/>
    </row>
    <row r="21" spans="1:62" x14ac:dyDescent="0.25">
      <c r="A21" s="11" t="s">
        <v>38</v>
      </c>
      <c r="B21" s="11" t="s">
        <v>296</v>
      </c>
      <c r="C21" s="11" t="s">
        <v>355</v>
      </c>
      <c r="D21" s="11"/>
      <c r="E21" s="11"/>
      <c r="F21" s="11">
        <v>14.7</v>
      </c>
      <c r="G21" s="18">
        <v>720</v>
      </c>
      <c r="H21" s="18"/>
      <c r="I21" s="18"/>
      <c r="J21" s="31"/>
      <c r="K21" s="33"/>
      <c r="L21" s="11">
        <v>67.5</v>
      </c>
      <c r="M21" s="11" t="e">
        <f>ListDatas3412[[#This Row],[1RM DC]]/ListDatas3412[[#This Row],[Poids (kg)]]</f>
        <v>#DIV/0!</v>
      </c>
      <c r="N21" s="11">
        <v>65</v>
      </c>
      <c r="O21" s="11"/>
      <c r="P21" s="39"/>
      <c r="Q21" s="39"/>
      <c r="R21" s="11"/>
      <c r="S21" s="11">
        <v>1.87</v>
      </c>
      <c r="T21" s="11">
        <v>3.25</v>
      </c>
      <c r="U21" s="11">
        <v>4.55</v>
      </c>
      <c r="V21" s="11">
        <v>5.98</v>
      </c>
      <c r="W21" s="11">
        <f>ListDatas3412[[#This Row],[10m (s)]]</f>
        <v>1.87</v>
      </c>
      <c r="X21" s="11">
        <f>ListDatas3412[[#This Row],[20m (s)]]-ListDatas3412[[#This Row],[10m (s)]]</f>
        <v>1.38</v>
      </c>
      <c r="Y21" s="36">
        <f>ListDatas3412[[#This Row],[30m (s)]]-ListDatas3412[[#This Row],[20m (s)]]</f>
        <v>1.2999999999999998</v>
      </c>
      <c r="Z21" s="11">
        <f>ListDatas3412[[#This Row],[40m (s)]]-ListDatas3412[[#This Row],[30m (s)]]</f>
        <v>1.4300000000000006</v>
      </c>
      <c r="AA21" s="12">
        <f>10/ListDatas3412[[#This Row],[10m - 20m]]</f>
        <v>7.2463768115942031</v>
      </c>
      <c r="AB21" s="12">
        <f>10/ListDatas3412[[#This Row],[20-30m]]</f>
        <v>7.6923076923076934</v>
      </c>
      <c r="AC21" s="12">
        <f>10/ListDatas3412[[#This Row],[30-40m]]</f>
        <v>6.9930069930069898</v>
      </c>
      <c r="AD21" s="12">
        <f>10/ListDatas3412[[#This Row],[10m (s)]]</f>
        <v>5.3475935828877006</v>
      </c>
      <c r="AE21" s="12">
        <f>ListDatas3412[[#This Row],[m.s 10m]]*3.6</f>
        <v>19.251336898395724</v>
      </c>
      <c r="AF21" s="12">
        <f>20/ListDatas3412[[#This Row],[20m (s)]]</f>
        <v>6.1538461538461542</v>
      </c>
      <c r="AG21" s="12">
        <f>ListDatas3412[[#This Row],[m.s 20m]]*3.6</f>
        <v>22.153846153846157</v>
      </c>
      <c r="AH21" s="12">
        <f>30/ListDatas3412[[#This Row],[30m (s)]]</f>
        <v>6.593406593406594</v>
      </c>
      <c r="AI21" s="12">
        <f>ListDatas3412[[#This Row],[m.s 30m]]*3.6</f>
        <v>23.736263736263737</v>
      </c>
      <c r="AJ21" s="12">
        <f>40/ListDatas3412[[#This Row],[40m (s)]]</f>
        <v>6.6889632107023402</v>
      </c>
      <c r="AK21" s="12">
        <f>ListDatas3412[[#This Row],[m.s 40m]]*3.6</f>
        <v>24.080267558528426</v>
      </c>
      <c r="AL21" s="11">
        <v>207</v>
      </c>
      <c r="AN21" s="3"/>
      <c r="BF21" s="3"/>
      <c r="BH21" s="3"/>
    </row>
    <row r="22" spans="1:62" x14ac:dyDescent="0.25">
      <c r="A22" s="11" t="s">
        <v>53</v>
      </c>
      <c r="B22" s="11" t="s">
        <v>49</v>
      </c>
      <c r="C22" s="11" t="s">
        <v>355</v>
      </c>
      <c r="D22" s="11"/>
      <c r="E22" s="11"/>
      <c r="F22" s="11"/>
      <c r="G22" s="18"/>
      <c r="H22" s="18"/>
      <c r="I22" s="18"/>
      <c r="J22" s="31"/>
      <c r="K22" s="33"/>
      <c r="L22" s="11">
        <v>50</v>
      </c>
      <c r="M22" s="11" t="e">
        <f>ListDatas3412[[#This Row],[1RM DC]]/ListDatas3412[[#This Row],[Poids (kg)]]</f>
        <v>#DIV/0!</v>
      </c>
      <c r="N22" s="11">
        <v>55</v>
      </c>
      <c r="O22" s="11"/>
      <c r="P22" s="39"/>
      <c r="Q22" s="39"/>
      <c r="R22" s="11"/>
      <c r="S22" s="11"/>
      <c r="T22" s="11"/>
      <c r="U22" s="11"/>
      <c r="V22" s="11"/>
      <c r="W22" s="11">
        <f>ListDatas3412[[#This Row],[10m (s)]]</f>
        <v>0</v>
      </c>
      <c r="X22" s="11">
        <f>ListDatas3412[[#This Row],[20m (s)]]-ListDatas3412[[#This Row],[10m (s)]]</f>
        <v>0</v>
      </c>
      <c r="Y22" s="11">
        <f>ListDatas3412[[#This Row],[30m (s)]]-ListDatas3412[[#This Row],[20m (s)]]</f>
        <v>0</v>
      </c>
      <c r="Z22" s="11">
        <f>ListDatas3412[[#This Row],[40m (s)]]-ListDatas3412[[#This Row],[30m (s)]]</f>
        <v>0</v>
      </c>
      <c r="AA22" s="12" t="e">
        <f>10/ListDatas3412[[#This Row],[10m - 20m]]</f>
        <v>#DIV/0!</v>
      </c>
      <c r="AB22" s="12" t="e">
        <f>10/ListDatas3412[[#This Row],[20-30m]]</f>
        <v>#DIV/0!</v>
      </c>
      <c r="AC22" s="12" t="e">
        <f>10/ListDatas3412[[#This Row],[30-40m]]</f>
        <v>#DIV/0!</v>
      </c>
      <c r="AD22" s="12" t="e">
        <f>10/ListDatas3412[[#This Row],[10m (s)]]</f>
        <v>#DIV/0!</v>
      </c>
      <c r="AE22" s="12" t="e">
        <f>ListDatas3412[[#This Row],[m.s 10m]]*3.6</f>
        <v>#DIV/0!</v>
      </c>
      <c r="AF22" s="12" t="e">
        <f>20/ListDatas3412[[#This Row],[20m (s)]]</f>
        <v>#DIV/0!</v>
      </c>
      <c r="AG22" s="12" t="e">
        <f>ListDatas3412[[#This Row],[m.s 20m]]*3.6</f>
        <v>#DIV/0!</v>
      </c>
      <c r="AH22" s="12" t="e">
        <f>30/ListDatas3412[[#This Row],[30m (s)]]</f>
        <v>#DIV/0!</v>
      </c>
      <c r="AI22" s="12" t="e">
        <f>ListDatas3412[[#This Row],[m.s 30m]]*3.6</f>
        <v>#DIV/0!</v>
      </c>
      <c r="AJ22" s="12" t="e">
        <f>40/ListDatas3412[[#This Row],[40m (s)]]</f>
        <v>#DIV/0!</v>
      </c>
      <c r="AK22" s="12" t="e">
        <f>ListDatas3412[[#This Row],[m.s 40m]]*3.6</f>
        <v>#DIV/0!</v>
      </c>
      <c r="AL22" s="11"/>
      <c r="BF22" s="3"/>
      <c r="BH22" s="3"/>
    </row>
    <row r="23" spans="1:62" x14ac:dyDescent="0.25">
      <c r="A23" s="11" t="s">
        <v>25</v>
      </c>
      <c r="B23" s="11" t="s">
        <v>295</v>
      </c>
      <c r="C23" s="11" t="s">
        <v>355</v>
      </c>
      <c r="D23" s="11"/>
      <c r="E23" s="11"/>
      <c r="F23" s="11">
        <v>14.4</v>
      </c>
      <c r="G23" s="18">
        <v>600</v>
      </c>
      <c r="H23" s="18"/>
      <c r="I23" s="18"/>
      <c r="J23" s="31"/>
      <c r="K23" s="33"/>
      <c r="L23" s="11">
        <v>55</v>
      </c>
      <c r="M23" s="11" t="e">
        <f>ListDatas3412[[#This Row],[1RM DC]]/ListDatas3412[[#This Row],[Poids (kg)]]</f>
        <v>#DIV/0!</v>
      </c>
      <c r="N23" s="11">
        <v>57.5</v>
      </c>
      <c r="O23" s="11"/>
      <c r="P23" s="39"/>
      <c r="Q23" s="39"/>
      <c r="R23" s="11"/>
      <c r="S23" s="11">
        <v>1.86</v>
      </c>
      <c r="T23" s="11">
        <v>3.23</v>
      </c>
      <c r="U23" s="11">
        <v>4.55</v>
      </c>
      <c r="V23" s="11">
        <v>5.82</v>
      </c>
      <c r="W23" s="11">
        <f>ListDatas3412[[#This Row],[10m (s)]]</f>
        <v>1.86</v>
      </c>
      <c r="X23" s="11">
        <f>ListDatas3412[[#This Row],[20m (s)]]-ListDatas3412[[#This Row],[10m (s)]]</f>
        <v>1.3699999999999999</v>
      </c>
      <c r="Y23" s="36">
        <f>ListDatas3412[[#This Row],[30m (s)]]-ListDatas3412[[#This Row],[20m (s)]]</f>
        <v>1.3199999999999998</v>
      </c>
      <c r="Z23" s="11">
        <f>ListDatas3412[[#This Row],[40m (s)]]-ListDatas3412[[#This Row],[30m (s)]]</f>
        <v>1.2700000000000005</v>
      </c>
      <c r="AA23" s="12">
        <f>10/ListDatas3412[[#This Row],[10m - 20m]]</f>
        <v>7.2992700729927016</v>
      </c>
      <c r="AB23" s="12">
        <f>10/ListDatas3412[[#This Row],[20-30m]]</f>
        <v>7.575757575757577</v>
      </c>
      <c r="AC23" s="12">
        <f>10/ListDatas3412[[#This Row],[30-40m]]</f>
        <v>7.8740157480314936</v>
      </c>
      <c r="AD23" s="12">
        <f>10/ListDatas3412[[#This Row],[10m (s)]]</f>
        <v>5.376344086021505</v>
      </c>
      <c r="AE23" s="12">
        <f>ListDatas3412[[#This Row],[m.s 10m]]*3.6</f>
        <v>19.35483870967742</v>
      </c>
      <c r="AF23" s="12">
        <f>20/ListDatas3412[[#This Row],[20m (s)]]</f>
        <v>6.1919504643962853</v>
      </c>
      <c r="AG23" s="12">
        <f>ListDatas3412[[#This Row],[m.s 20m]]*3.6</f>
        <v>22.291021671826627</v>
      </c>
      <c r="AH23" s="12">
        <f>30/ListDatas3412[[#This Row],[30m (s)]]</f>
        <v>6.593406593406594</v>
      </c>
      <c r="AI23" s="12">
        <f>ListDatas3412[[#This Row],[m.s 30m]]*3.6</f>
        <v>23.736263736263737</v>
      </c>
      <c r="AJ23" s="12">
        <f>40/ListDatas3412[[#This Row],[40m (s)]]</f>
        <v>6.8728522336769755</v>
      </c>
      <c r="AK23" s="12">
        <f>ListDatas3412[[#This Row],[m.s 40m]]*3.6</f>
        <v>24.742268041237111</v>
      </c>
      <c r="AL23" s="11"/>
      <c r="BH23" s="4"/>
      <c r="BJ23" s="3"/>
    </row>
    <row r="24" spans="1:62" x14ac:dyDescent="0.25">
      <c r="A24" s="11" t="s">
        <v>51</v>
      </c>
      <c r="B24" s="11" t="s">
        <v>29</v>
      </c>
      <c r="C24" s="11" t="s">
        <v>355</v>
      </c>
      <c r="D24" s="11"/>
      <c r="E24" s="11"/>
      <c r="F24" s="11">
        <v>15.3</v>
      </c>
      <c r="G24" s="18">
        <v>880</v>
      </c>
      <c r="H24" s="18"/>
      <c r="I24" s="18"/>
      <c r="J24" s="31"/>
      <c r="K24" s="33"/>
      <c r="L24" s="11">
        <v>53</v>
      </c>
      <c r="M24" s="11" t="e">
        <f>ListDatas3412[[#This Row],[1RM DC]]/ListDatas3412[[#This Row],[Poids (kg)]]</f>
        <v>#DIV/0!</v>
      </c>
      <c r="N24" s="11">
        <v>48</v>
      </c>
      <c r="O24" s="11"/>
      <c r="P24" s="39"/>
      <c r="Q24" s="39"/>
      <c r="R24" s="11"/>
      <c r="S24" s="11">
        <v>1.89</v>
      </c>
      <c r="T24" s="11">
        <v>3.35</v>
      </c>
      <c r="U24" s="11">
        <v>4.71</v>
      </c>
      <c r="V24" s="11">
        <v>6.22</v>
      </c>
      <c r="W24" s="11">
        <f>ListDatas3412[[#This Row],[10m (s)]]</f>
        <v>1.89</v>
      </c>
      <c r="X24" s="11">
        <f>ListDatas3412[[#This Row],[20m (s)]]-ListDatas3412[[#This Row],[10m (s)]]</f>
        <v>1.4600000000000002</v>
      </c>
      <c r="Y24" s="36">
        <f>ListDatas3412[[#This Row],[30m (s)]]-ListDatas3412[[#This Row],[20m (s)]]</f>
        <v>1.3599999999999999</v>
      </c>
      <c r="Z24" s="11">
        <f>ListDatas3412[[#This Row],[40m (s)]]-ListDatas3412[[#This Row],[30m (s)]]</f>
        <v>1.5099999999999998</v>
      </c>
      <c r="AA24" s="12">
        <f>10/ListDatas3412[[#This Row],[10m - 20m]]</f>
        <v>6.8493150684931496</v>
      </c>
      <c r="AB24" s="12">
        <f>10/ListDatas3412[[#This Row],[20-30m]]</f>
        <v>7.3529411764705888</v>
      </c>
      <c r="AC24" s="12">
        <f>10/ListDatas3412[[#This Row],[30-40m]]</f>
        <v>6.6225165562913917</v>
      </c>
      <c r="AD24" s="12">
        <f>10/ListDatas3412[[#This Row],[10m (s)]]</f>
        <v>5.2910052910052912</v>
      </c>
      <c r="AE24" s="12">
        <f>ListDatas3412[[#This Row],[m.s 10m]]*3.6</f>
        <v>19.047619047619047</v>
      </c>
      <c r="AF24" s="12">
        <f>20/ListDatas3412[[#This Row],[20m (s)]]</f>
        <v>5.9701492537313428</v>
      </c>
      <c r="AG24" s="12">
        <f>ListDatas3412[[#This Row],[m.s 20m]]*3.6</f>
        <v>21.492537313432834</v>
      </c>
      <c r="AH24" s="12">
        <f>30/ListDatas3412[[#This Row],[30m (s)]]</f>
        <v>6.369426751592357</v>
      </c>
      <c r="AI24" s="12">
        <f>ListDatas3412[[#This Row],[m.s 30m]]*3.6</f>
        <v>22.929936305732486</v>
      </c>
      <c r="AJ24" s="12">
        <f>40/ListDatas3412[[#This Row],[40m (s)]]</f>
        <v>6.4308681672025729</v>
      </c>
      <c r="AK24" s="12">
        <f>ListDatas3412[[#This Row],[m.s 40m]]*3.6</f>
        <v>23.151125401929264</v>
      </c>
      <c r="AL24" s="11">
        <v>185</v>
      </c>
    </row>
    <row r="25" spans="1:62" x14ac:dyDescent="0.25">
      <c r="A25" s="11" t="s">
        <v>39</v>
      </c>
      <c r="B25" s="11" t="s">
        <v>29</v>
      </c>
      <c r="C25" s="11" t="s">
        <v>355</v>
      </c>
      <c r="D25" s="11"/>
      <c r="E25" s="11"/>
      <c r="F25" s="11">
        <v>15.2</v>
      </c>
      <c r="G25" s="18">
        <v>840</v>
      </c>
      <c r="H25" s="18"/>
      <c r="I25" s="18"/>
      <c r="J25" s="31"/>
      <c r="K25" s="33"/>
      <c r="L25" s="11">
        <v>45</v>
      </c>
      <c r="M25" s="11" t="e">
        <f>ListDatas3412[[#This Row],[1RM DC]]/ListDatas3412[[#This Row],[Poids (kg)]]</f>
        <v>#DIV/0!</v>
      </c>
      <c r="N25" s="11"/>
      <c r="O25" s="11"/>
      <c r="P25" s="39"/>
      <c r="Q25" s="39"/>
      <c r="R25" s="11"/>
      <c r="S25" s="11">
        <v>1.79</v>
      </c>
      <c r="T25" s="11">
        <v>3.14</v>
      </c>
      <c r="U25" s="11">
        <v>4.41</v>
      </c>
      <c r="V25" s="11">
        <v>5.82</v>
      </c>
      <c r="W25" s="11">
        <f>ListDatas3412[[#This Row],[10m (s)]]</f>
        <v>1.79</v>
      </c>
      <c r="X25" s="11">
        <f>ListDatas3412[[#This Row],[20m (s)]]-ListDatas3412[[#This Row],[10m (s)]]</f>
        <v>1.35</v>
      </c>
      <c r="Y25" s="36">
        <f>ListDatas3412[[#This Row],[30m (s)]]-ListDatas3412[[#This Row],[20m (s)]]</f>
        <v>1.27</v>
      </c>
      <c r="Z25" s="11">
        <f>ListDatas3412[[#This Row],[40m (s)]]-ListDatas3412[[#This Row],[30m (s)]]</f>
        <v>1.4100000000000001</v>
      </c>
      <c r="AA25" s="12">
        <f>10/ListDatas3412[[#This Row],[10m - 20m]]</f>
        <v>7.4074074074074066</v>
      </c>
      <c r="AB25" s="12">
        <f>10/ListDatas3412[[#This Row],[20-30m]]</f>
        <v>7.8740157480314963</v>
      </c>
      <c r="AC25" s="12">
        <f>10/ListDatas3412[[#This Row],[30-40m]]</f>
        <v>7.0921985815602833</v>
      </c>
      <c r="AD25" s="12">
        <f>10/ListDatas3412[[#This Row],[10m (s)]]</f>
        <v>5.5865921787709496</v>
      </c>
      <c r="AE25" s="12">
        <f>ListDatas3412[[#This Row],[m.s 10m]]*3.6</f>
        <v>20.11173184357542</v>
      </c>
      <c r="AF25" s="12">
        <f>20/ListDatas3412[[#This Row],[20m (s)]]</f>
        <v>6.3694267515923562</v>
      </c>
      <c r="AG25" s="12">
        <f>ListDatas3412[[#This Row],[m.s 20m]]*3.6</f>
        <v>22.929936305732483</v>
      </c>
      <c r="AH25" s="12">
        <f>30/ListDatas3412[[#This Row],[30m (s)]]</f>
        <v>6.8027210884353737</v>
      </c>
      <c r="AI25" s="12">
        <f>ListDatas3412[[#This Row],[m.s 30m]]*3.6</f>
        <v>24.489795918367346</v>
      </c>
      <c r="AJ25" s="12">
        <f>40/ListDatas3412[[#This Row],[40m (s)]]</f>
        <v>6.8728522336769755</v>
      </c>
      <c r="AK25" s="12">
        <f>ListDatas3412[[#This Row],[m.s 40m]]*3.6</f>
        <v>24.742268041237111</v>
      </c>
      <c r="AL25" s="11">
        <v>185</v>
      </c>
    </row>
    <row r="26" spans="1:62" x14ac:dyDescent="0.25">
      <c r="A26" s="11" t="s">
        <v>30</v>
      </c>
      <c r="B26" s="11" t="s">
        <v>31</v>
      </c>
      <c r="C26" s="11" t="s">
        <v>355</v>
      </c>
      <c r="D26" s="11"/>
      <c r="E26" s="11"/>
      <c r="F26" s="11">
        <v>14.8</v>
      </c>
      <c r="G26" s="18">
        <v>760</v>
      </c>
      <c r="H26" s="18"/>
      <c r="I26" s="18"/>
      <c r="J26" s="31"/>
      <c r="K26" s="33"/>
      <c r="L26" s="11">
        <v>60</v>
      </c>
      <c r="M26" s="11" t="e">
        <f>ListDatas3412[[#This Row],[1RM DC]]/ListDatas3412[[#This Row],[Poids (kg)]]</f>
        <v>#DIV/0!</v>
      </c>
      <c r="N26" s="11">
        <v>63</v>
      </c>
      <c r="O26" s="11"/>
      <c r="P26" s="39"/>
      <c r="Q26" s="39"/>
      <c r="R26" s="11"/>
      <c r="S26" s="11">
        <v>1.86</v>
      </c>
      <c r="T26" s="11">
        <v>3.18</v>
      </c>
      <c r="U26" s="11">
        <v>4.45</v>
      </c>
      <c r="V26" s="11">
        <v>5.8</v>
      </c>
      <c r="W26" s="11">
        <f>ListDatas3412[[#This Row],[10m (s)]]</f>
        <v>1.86</v>
      </c>
      <c r="X26" s="11">
        <f>ListDatas3412[[#This Row],[20m (s)]]-ListDatas3412[[#This Row],[10m (s)]]</f>
        <v>1.32</v>
      </c>
      <c r="Y26" s="36">
        <f>ListDatas3412[[#This Row],[30m (s)]]-ListDatas3412[[#This Row],[20m (s)]]</f>
        <v>1.27</v>
      </c>
      <c r="Z26" s="11">
        <f>ListDatas3412[[#This Row],[40m (s)]]-ListDatas3412[[#This Row],[30m (s)]]</f>
        <v>1.3499999999999996</v>
      </c>
      <c r="AA26" s="12">
        <f>10/ListDatas3412[[#This Row],[10m - 20m]]</f>
        <v>7.5757575757575752</v>
      </c>
      <c r="AB26" s="12">
        <f>10/ListDatas3412[[#This Row],[20-30m]]</f>
        <v>7.8740157480314963</v>
      </c>
      <c r="AC26" s="12">
        <f>10/ListDatas3412[[#This Row],[30-40m]]</f>
        <v>7.4074074074074092</v>
      </c>
      <c r="AD26" s="12">
        <f>10/ListDatas3412[[#This Row],[10m (s)]]</f>
        <v>5.376344086021505</v>
      </c>
      <c r="AE26" s="12">
        <f>ListDatas3412[[#This Row],[m.s 10m]]*3.6</f>
        <v>19.35483870967742</v>
      </c>
      <c r="AF26" s="12">
        <f>20/ListDatas3412[[#This Row],[20m (s)]]</f>
        <v>6.2893081761006284</v>
      </c>
      <c r="AG26" s="12">
        <f>ListDatas3412[[#This Row],[m.s 20m]]*3.6</f>
        <v>22.641509433962263</v>
      </c>
      <c r="AH26" s="12">
        <f>30/ListDatas3412[[#This Row],[30m (s)]]</f>
        <v>6.7415730337078648</v>
      </c>
      <c r="AI26" s="12">
        <f>ListDatas3412[[#This Row],[m.s 30m]]*3.6</f>
        <v>24.269662921348313</v>
      </c>
      <c r="AJ26" s="12">
        <f>40/ListDatas3412[[#This Row],[40m (s)]]</f>
        <v>6.8965517241379315</v>
      </c>
      <c r="AK26" s="12">
        <f>ListDatas3412[[#This Row],[m.s 40m]]*3.6</f>
        <v>24.827586206896555</v>
      </c>
      <c r="AL26" s="11">
        <v>200</v>
      </c>
    </row>
    <row r="27" spans="1:62" x14ac:dyDescent="0.25">
      <c r="A27" s="11" t="s">
        <v>33</v>
      </c>
      <c r="B27" s="11" t="s">
        <v>296</v>
      </c>
      <c r="C27" s="11" t="s">
        <v>355</v>
      </c>
      <c r="D27" s="11"/>
      <c r="E27" s="11"/>
      <c r="F27" s="11">
        <v>14.8</v>
      </c>
      <c r="G27" s="18">
        <v>760</v>
      </c>
      <c r="H27" s="18"/>
      <c r="I27" s="18"/>
      <c r="J27" s="31"/>
      <c r="K27" s="33"/>
      <c r="L27" s="11">
        <v>50</v>
      </c>
      <c r="M27" s="11" t="e">
        <f>ListDatas3412[[#This Row],[1RM DC]]/ListDatas3412[[#This Row],[Poids (kg)]]</f>
        <v>#DIV/0!</v>
      </c>
      <c r="N27" s="11"/>
      <c r="O27" s="11"/>
      <c r="P27" s="39"/>
      <c r="Q27" s="39"/>
      <c r="R27" s="11"/>
      <c r="S27" s="11">
        <v>1.97</v>
      </c>
      <c r="T27" s="11">
        <v>3.41</v>
      </c>
      <c r="U27" s="11">
        <v>4.79</v>
      </c>
      <c r="V27" s="11">
        <v>6.13</v>
      </c>
      <c r="W27" s="11">
        <f>ListDatas3412[[#This Row],[10m (s)]]</f>
        <v>1.97</v>
      </c>
      <c r="X27" s="11">
        <f>ListDatas3412[[#This Row],[20m (s)]]-ListDatas3412[[#This Row],[10m (s)]]</f>
        <v>1.4400000000000002</v>
      </c>
      <c r="Y27" s="11">
        <f>ListDatas3412[[#This Row],[30m (s)]]-ListDatas3412[[#This Row],[20m (s)]]</f>
        <v>1.38</v>
      </c>
      <c r="Z27" s="36">
        <f>ListDatas3412[[#This Row],[40m (s)]]-ListDatas3412[[#This Row],[30m (s)]]</f>
        <v>1.3399999999999999</v>
      </c>
      <c r="AA27" s="12">
        <f>10/ListDatas3412[[#This Row],[10m - 20m]]</f>
        <v>6.9444444444444438</v>
      </c>
      <c r="AB27" s="12">
        <f>10/ListDatas3412[[#This Row],[20-30m]]</f>
        <v>7.2463768115942031</v>
      </c>
      <c r="AC27" s="12">
        <f>10/ListDatas3412[[#This Row],[30-40m]]</f>
        <v>7.4626865671641802</v>
      </c>
      <c r="AD27" s="12">
        <f>10/ListDatas3412[[#This Row],[10m (s)]]</f>
        <v>5.0761421319796955</v>
      </c>
      <c r="AE27" s="12">
        <f>ListDatas3412[[#This Row],[m.s 10m]]*3.6</f>
        <v>18.274111675126903</v>
      </c>
      <c r="AF27" s="12">
        <f>20/ListDatas3412[[#This Row],[20m (s)]]</f>
        <v>5.8651026392961878</v>
      </c>
      <c r="AG27" s="12">
        <f>ListDatas3412[[#This Row],[m.s 20m]]*3.6</f>
        <v>21.114369501466278</v>
      </c>
      <c r="AH27" s="12">
        <f>30/ListDatas3412[[#This Row],[30m (s)]]</f>
        <v>6.2630480167014611</v>
      </c>
      <c r="AI27" s="12">
        <f>ListDatas3412[[#This Row],[m.s 30m]]*3.6</f>
        <v>22.546972860125262</v>
      </c>
      <c r="AJ27" s="12">
        <f>40/ListDatas3412[[#This Row],[40m (s)]]</f>
        <v>6.5252854812398047</v>
      </c>
      <c r="AK27" s="12">
        <f>ListDatas3412[[#This Row],[m.s 40m]]*3.6</f>
        <v>23.491027732463298</v>
      </c>
      <c r="AL27" s="11"/>
    </row>
    <row r="28" spans="1:62" x14ac:dyDescent="0.25">
      <c r="A28" s="11" t="s">
        <v>40</v>
      </c>
      <c r="B28" s="11" t="s">
        <v>31</v>
      </c>
      <c r="C28" s="11" t="s">
        <v>355</v>
      </c>
      <c r="D28" s="11"/>
      <c r="E28" s="11"/>
      <c r="F28" s="11">
        <v>14.6</v>
      </c>
      <c r="G28" s="18">
        <v>680</v>
      </c>
      <c r="H28" s="18"/>
      <c r="I28" s="18"/>
      <c r="J28" s="31"/>
      <c r="K28" s="33"/>
      <c r="L28" s="11">
        <v>45</v>
      </c>
      <c r="M28" s="11" t="e">
        <f>ListDatas3412[[#This Row],[1RM DC]]/ListDatas3412[[#This Row],[Poids (kg)]]</f>
        <v>#DIV/0!</v>
      </c>
      <c r="N28" s="11">
        <v>55</v>
      </c>
      <c r="O28" s="11"/>
      <c r="P28" s="39"/>
      <c r="Q28" s="39"/>
      <c r="R28" s="11"/>
      <c r="S28" s="11">
        <v>1.79</v>
      </c>
      <c r="T28" s="11">
        <v>3.15</v>
      </c>
      <c r="U28" s="11">
        <v>4.43</v>
      </c>
      <c r="V28" s="11">
        <v>5.83</v>
      </c>
      <c r="W28" s="11">
        <f>ListDatas3412[[#This Row],[10m (s)]]</f>
        <v>1.79</v>
      </c>
      <c r="X28" s="11">
        <f>ListDatas3412[[#This Row],[20m (s)]]-ListDatas3412[[#This Row],[10m (s)]]</f>
        <v>1.3599999999999999</v>
      </c>
      <c r="Y28" s="36">
        <f>ListDatas3412[[#This Row],[30m (s)]]-ListDatas3412[[#This Row],[20m (s)]]</f>
        <v>1.2799999999999998</v>
      </c>
      <c r="Z28" s="11">
        <f>ListDatas3412[[#This Row],[40m (s)]]-ListDatas3412[[#This Row],[30m (s)]]</f>
        <v>1.4000000000000004</v>
      </c>
      <c r="AA28" s="12">
        <f>10/ListDatas3412[[#This Row],[10m - 20m]]</f>
        <v>7.3529411764705888</v>
      </c>
      <c r="AB28" s="12">
        <f>10/ListDatas3412[[#This Row],[20-30m]]</f>
        <v>7.8125000000000009</v>
      </c>
      <c r="AC28" s="12">
        <f>10/ListDatas3412[[#This Row],[30-40m]]</f>
        <v>7.1428571428571415</v>
      </c>
      <c r="AD28" s="12">
        <f>10/ListDatas3412[[#This Row],[10m (s)]]</f>
        <v>5.5865921787709496</v>
      </c>
      <c r="AE28" s="12">
        <f>ListDatas3412[[#This Row],[m.s 10m]]*3.6</f>
        <v>20.11173184357542</v>
      </c>
      <c r="AF28" s="12">
        <f>20/ListDatas3412[[#This Row],[20m (s)]]</f>
        <v>6.3492063492063497</v>
      </c>
      <c r="AG28" s="12">
        <f>ListDatas3412[[#This Row],[m.s 20m]]*3.6</f>
        <v>22.857142857142861</v>
      </c>
      <c r="AH28" s="12">
        <f>30/ListDatas3412[[#This Row],[30m (s)]]</f>
        <v>6.772009029345373</v>
      </c>
      <c r="AI28" s="12">
        <f>ListDatas3412[[#This Row],[m.s 30m]]*3.6</f>
        <v>24.379232505643344</v>
      </c>
      <c r="AJ28" s="12">
        <f>40/ListDatas3412[[#This Row],[40m (s)]]</f>
        <v>6.8610634648370494</v>
      </c>
      <c r="AK28" s="12">
        <f>ListDatas3412[[#This Row],[m.s 40m]]*3.6</f>
        <v>24.69982847341338</v>
      </c>
      <c r="AL28" s="11">
        <v>209</v>
      </c>
    </row>
    <row r="29" spans="1:62" x14ac:dyDescent="0.25">
      <c r="A29" s="11" t="s">
        <v>65</v>
      </c>
      <c r="B29" s="11" t="s">
        <v>29</v>
      </c>
      <c r="C29" s="11" t="s">
        <v>355</v>
      </c>
      <c r="D29" s="11"/>
      <c r="E29" s="11"/>
      <c r="F29" s="11">
        <v>14.5</v>
      </c>
      <c r="G29" s="18">
        <v>640</v>
      </c>
      <c r="H29" s="18"/>
      <c r="I29" s="18"/>
      <c r="J29" s="31"/>
      <c r="K29" s="33"/>
      <c r="L29" s="11">
        <v>40</v>
      </c>
      <c r="M29" s="11" t="e">
        <f>ListDatas3412[[#This Row],[1RM DC]]/ListDatas3412[[#This Row],[Poids (kg)]]</f>
        <v>#DIV/0!</v>
      </c>
      <c r="N29" s="11">
        <v>40</v>
      </c>
      <c r="O29" s="11"/>
      <c r="P29" s="39"/>
      <c r="Q29" s="39"/>
      <c r="R29" s="11"/>
      <c r="S29" s="11">
        <v>2.0699999999999998</v>
      </c>
      <c r="T29" s="11">
        <v>3.62</v>
      </c>
      <c r="U29" s="11">
        <v>5.17</v>
      </c>
      <c r="V29" s="11">
        <v>6.75</v>
      </c>
      <c r="W29" s="11">
        <f>ListDatas3412[[#This Row],[10m (s)]]</f>
        <v>2.0699999999999998</v>
      </c>
      <c r="X29" s="36">
        <f>ListDatas3412[[#This Row],[20m (s)]]-ListDatas3412[[#This Row],[10m (s)]]</f>
        <v>1.5500000000000003</v>
      </c>
      <c r="Y29" s="36">
        <f>ListDatas3412[[#This Row],[30m (s)]]-ListDatas3412[[#This Row],[20m (s)]]</f>
        <v>1.5499999999999998</v>
      </c>
      <c r="Z29" s="11">
        <f>ListDatas3412[[#This Row],[40m (s)]]-ListDatas3412[[#This Row],[30m (s)]]</f>
        <v>1.58</v>
      </c>
      <c r="AA29" s="12">
        <f>10/ListDatas3412[[#This Row],[10m - 20m]]</f>
        <v>6.4516129032258052</v>
      </c>
      <c r="AB29" s="12">
        <f>10/ListDatas3412[[#This Row],[20-30m]]</f>
        <v>6.4516129032258069</v>
      </c>
      <c r="AC29" s="12">
        <f>10/ListDatas3412[[#This Row],[30-40m]]</f>
        <v>6.3291139240506329</v>
      </c>
      <c r="AD29" s="12">
        <f>10/ListDatas3412[[#This Row],[10m (s)]]</f>
        <v>4.8309178743961354</v>
      </c>
      <c r="AE29" s="12">
        <f>ListDatas3412[[#This Row],[m.s 10m]]*3.6</f>
        <v>17.39130434782609</v>
      </c>
      <c r="AF29" s="12">
        <f>20/ListDatas3412[[#This Row],[20m (s)]]</f>
        <v>5.5248618784530388</v>
      </c>
      <c r="AG29" s="12">
        <f>ListDatas3412[[#This Row],[m.s 20m]]*3.6</f>
        <v>19.88950276243094</v>
      </c>
      <c r="AH29" s="12">
        <f>30/ListDatas3412[[#This Row],[30m (s)]]</f>
        <v>5.8027079303675047</v>
      </c>
      <c r="AI29" s="12">
        <f>ListDatas3412[[#This Row],[m.s 30m]]*3.6</f>
        <v>20.889748549323016</v>
      </c>
      <c r="AJ29" s="12">
        <f>40/ListDatas3412[[#This Row],[40m (s)]]</f>
        <v>5.9259259259259256</v>
      </c>
      <c r="AK29" s="12">
        <f>ListDatas3412[[#This Row],[m.s 40m]]*3.6</f>
        <v>21.333333333333332</v>
      </c>
      <c r="AL29" s="11"/>
    </row>
    <row r="30" spans="1:62" x14ac:dyDescent="0.25">
      <c r="A30" s="11" t="s">
        <v>54</v>
      </c>
      <c r="B30" s="11" t="s">
        <v>45</v>
      </c>
      <c r="C30" s="11" t="s">
        <v>355</v>
      </c>
      <c r="D30" s="11"/>
      <c r="E30" s="11"/>
      <c r="F30" s="11">
        <v>15.2</v>
      </c>
      <c r="G30" s="18">
        <v>840</v>
      </c>
      <c r="H30" s="18"/>
      <c r="I30" s="18"/>
      <c r="J30" s="31"/>
      <c r="K30" s="33"/>
      <c r="L30" s="11">
        <v>62.5</v>
      </c>
      <c r="M30" s="11" t="e">
        <f>ListDatas3412[[#This Row],[1RM DC]]/ListDatas3412[[#This Row],[Poids (kg)]]</f>
        <v>#DIV/0!</v>
      </c>
      <c r="N30" s="11">
        <v>60</v>
      </c>
      <c r="O30" s="11"/>
      <c r="P30" s="39"/>
      <c r="Q30" s="39"/>
      <c r="R30" s="11"/>
      <c r="S30" s="11">
        <v>1.86</v>
      </c>
      <c r="T30" s="11">
        <v>3.26</v>
      </c>
      <c r="U30" s="11">
        <v>4.59</v>
      </c>
      <c r="V30" s="11">
        <v>6.02</v>
      </c>
      <c r="W30" s="11">
        <f>ListDatas3412[[#This Row],[10m (s)]]</f>
        <v>1.86</v>
      </c>
      <c r="X30" s="11">
        <f>ListDatas3412[[#This Row],[20m (s)]]-ListDatas3412[[#This Row],[10m (s)]]</f>
        <v>1.3999999999999997</v>
      </c>
      <c r="Y30" s="36">
        <f>ListDatas3412[[#This Row],[30m (s)]]-ListDatas3412[[#This Row],[20m (s)]]</f>
        <v>1.33</v>
      </c>
      <c r="Z30" s="11">
        <f>ListDatas3412[[#This Row],[40m (s)]]-ListDatas3412[[#This Row],[30m (s)]]</f>
        <v>1.4299999999999997</v>
      </c>
      <c r="AA30" s="12">
        <f>10/ListDatas3412[[#This Row],[10m - 20m]]</f>
        <v>7.1428571428571441</v>
      </c>
      <c r="AB30" s="12">
        <f>10/ListDatas3412[[#This Row],[20-30m]]</f>
        <v>7.518796992481203</v>
      </c>
      <c r="AC30" s="12">
        <f>10/ListDatas3412[[#This Row],[30-40m]]</f>
        <v>6.9930069930069942</v>
      </c>
      <c r="AD30" s="12">
        <f>10/ListDatas3412[[#This Row],[10m (s)]]</f>
        <v>5.376344086021505</v>
      </c>
      <c r="AE30" s="12">
        <f>ListDatas3412[[#This Row],[m.s 10m]]*3.6</f>
        <v>19.35483870967742</v>
      </c>
      <c r="AF30" s="12">
        <f>20/ListDatas3412[[#This Row],[20m (s)]]</f>
        <v>6.1349693251533743</v>
      </c>
      <c r="AG30" s="12">
        <f>ListDatas3412[[#This Row],[m.s 20m]]*3.6</f>
        <v>22.085889570552148</v>
      </c>
      <c r="AH30" s="12">
        <f>30/ListDatas3412[[#This Row],[30m (s)]]</f>
        <v>6.5359477124183005</v>
      </c>
      <c r="AI30" s="12">
        <f>ListDatas3412[[#This Row],[m.s 30m]]*3.6</f>
        <v>23.529411764705884</v>
      </c>
      <c r="AJ30" s="12">
        <f>40/ListDatas3412[[#This Row],[40m (s)]]</f>
        <v>6.6445182724252501</v>
      </c>
      <c r="AK30" s="12">
        <f>ListDatas3412[[#This Row],[m.s 40m]]*3.6</f>
        <v>23.920265780730901</v>
      </c>
      <c r="AL30" s="11">
        <v>189</v>
      </c>
    </row>
    <row r="31" spans="1:62" x14ac:dyDescent="0.25">
      <c r="A31" s="39" t="s">
        <v>366</v>
      </c>
      <c r="B31" s="11"/>
      <c r="C31" s="39"/>
      <c r="D31" s="39"/>
      <c r="E31" s="39"/>
      <c r="F31" s="11"/>
      <c r="G31" s="39"/>
      <c r="H31" s="19"/>
      <c r="I31" s="19"/>
      <c r="J31" s="31"/>
      <c r="K31" s="33"/>
      <c r="L31" s="39">
        <v>50</v>
      </c>
      <c r="M31" s="54" t="e">
        <f>ListDatas3412[[#This Row],[1RM DC]]/ListDatas3412[[#This Row],[Poids (kg)]]</f>
        <v>#DIV/0!</v>
      </c>
      <c r="N31" s="39">
        <v>55</v>
      </c>
      <c r="O31" s="11"/>
      <c r="P31" s="39"/>
      <c r="Q31" s="39"/>
      <c r="R31" s="39"/>
      <c r="S31" s="39"/>
      <c r="T31" s="39"/>
      <c r="U31" s="39"/>
      <c r="V31" s="39"/>
      <c r="W31" s="54">
        <f>ListDatas3412[[#This Row],[10m (s)]]</f>
        <v>0</v>
      </c>
      <c r="X31" s="54">
        <f>ListDatas3412[[#This Row],[20m (s)]]-ListDatas3412[[#This Row],[10m (s)]]</f>
        <v>0</v>
      </c>
      <c r="Y31" s="54">
        <f>ListDatas3412[[#This Row],[30m (s)]]-ListDatas3412[[#This Row],[20m (s)]]</f>
        <v>0</v>
      </c>
      <c r="Z31" s="54">
        <f>ListDatas3412[[#This Row],[40m (s)]]-ListDatas3412[[#This Row],[30m (s)]]</f>
        <v>0</v>
      </c>
      <c r="AA31" s="12" t="e">
        <f>10/ListDatas3412[[#This Row],[10m - 20m]]</f>
        <v>#DIV/0!</v>
      </c>
      <c r="AB31" s="12" t="e">
        <f>10/ListDatas3412[[#This Row],[20-30m]]</f>
        <v>#DIV/0!</v>
      </c>
      <c r="AC31" s="12" t="e">
        <f>10/ListDatas3412[[#This Row],[30-40m]]</f>
        <v>#DIV/0!</v>
      </c>
      <c r="AD31" s="53" t="e">
        <f>10/ListDatas3412[[#This Row],[10m (s)]]</f>
        <v>#DIV/0!</v>
      </c>
      <c r="AE31" s="53" t="e">
        <f>ListDatas3412[[#This Row],[m.s 10m]]*3.6</f>
        <v>#DIV/0!</v>
      </c>
      <c r="AF31" s="53" t="e">
        <f>20/ListDatas3412[[#This Row],[20m (s)]]</f>
        <v>#DIV/0!</v>
      </c>
      <c r="AG31" s="53" t="e">
        <f>ListDatas3412[[#This Row],[m.s 20m]]*3.6</f>
        <v>#DIV/0!</v>
      </c>
      <c r="AH31" s="53" t="e">
        <f>30/ListDatas3412[[#This Row],[30m (s)]]</f>
        <v>#DIV/0!</v>
      </c>
      <c r="AI31" s="53" t="e">
        <f>ListDatas3412[[#This Row],[m.s 30m]]*3.6</f>
        <v>#DIV/0!</v>
      </c>
      <c r="AJ31" s="53" t="e">
        <f>40/ListDatas3412[[#This Row],[40m (s)]]</f>
        <v>#DIV/0!</v>
      </c>
      <c r="AK31" s="53" t="e">
        <f>ListDatas3412[[#This Row],[m.s 40m]]*3.6</f>
        <v>#DIV/0!</v>
      </c>
      <c r="AL31" s="39"/>
    </row>
    <row r="32" spans="1:62" x14ac:dyDescent="0.25">
      <c r="B32" s="7"/>
      <c r="C32" t="s">
        <v>297</v>
      </c>
    </row>
    <row r="33" spans="2:20" x14ac:dyDescent="0.25">
      <c r="B33" s="14"/>
      <c r="C33" t="s">
        <v>298</v>
      </c>
    </row>
    <row r="36" spans="2:20" x14ac:dyDescent="0.25">
      <c r="L36" t="s">
        <v>364</v>
      </c>
      <c r="M36" t="s">
        <v>365</v>
      </c>
    </row>
    <row r="37" spans="2:20" x14ac:dyDescent="0.25">
      <c r="T37" s="29"/>
    </row>
    <row r="38" spans="2:20" x14ac:dyDescent="0.25">
      <c r="T38" s="11"/>
    </row>
    <row r="39" spans="2:20" x14ac:dyDescent="0.25">
      <c r="T39" s="11"/>
    </row>
    <row r="40" spans="2:20" x14ac:dyDescent="0.25">
      <c r="T40" s="11"/>
    </row>
    <row r="41" spans="2:20" x14ac:dyDescent="0.25">
      <c r="T41" s="11"/>
    </row>
    <row r="42" spans="2:20" x14ac:dyDescent="0.25">
      <c r="T42" s="11"/>
    </row>
    <row r="43" spans="2:20" x14ac:dyDescent="0.25">
      <c r="T43" s="11"/>
    </row>
    <row r="44" spans="2:20" x14ac:dyDescent="0.25">
      <c r="T44" s="11"/>
    </row>
    <row r="45" spans="2:20" x14ac:dyDescent="0.25">
      <c r="T45" s="11"/>
    </row>
    <row r="46" spans="2:20" x14ac:dyDescent="0.25">
      <c r="T46" s="11"/>
    </row>
    <row r="47" spans="2:20" x14ac:dyDescent="0.25">
      <c r="T47" s="11"/>
    </row>
    <row r="48" spans="2:20" x14ac:dyDescent="0.25">
      <c r="T48" s="11"/>
    </row>
    <row r="49" spans="20:20" x14ac:dyDescent="0.25">
      <c r="T49" s="11"/>
    </row>
    <row r="50" spans="20:20" x14ac:dyDescent="0.25">
      <c r="T50" s="11"/>
    </row>
    <row r="51" spans="20:20" x14ac:dyDescent="0.25">
      <c r="T51" s="11"/>
    </row>
    <row r="52" spans="20:20" x14ac:dyDescent="0.25">
      <c r="T52" s="11"/>
    </row>
    <row r="53" spans="20:20" x14ac:dyDescent="0.25">
      <c r="T53" s="11"/>
    </row>
    <row r="54" spans="20:20" x14ac:dyDescent="0.25">
      <c r="T54" s="11"/>
    </row>
    <row r="55" spans="20:20" x14ac:dyDescent="0.25">
      <c r="T55" s="11"/>
    </row>
    <row r="56" spans="20:20" x14ac:dyDescent="0.25">
      <c r="T56" s="11"/>
    </row>
    <row r="57" spans="20:20" x14ac:dyDescent="0.25">
      <c r="T57" s="11"/>
    </row>
    <row r="58" spans="20:20" x14ac:dyDescent="0.25">
      <c r="T58" s="11"/>
    </row>
    <row r="59" spans="20:20" x14ac:dyDescent="0.25">
      <c r="T59" s="11"/>
    </row>
    <row r="60" spans="20:20" x14ac:dyDescent="0.25">
      <c r="T60" s="11"/>
    </row>
    <row r="61" spans="20:20" x14ac:dyDescent="0.25">
      <c r="T61" s="11"/>
    </row>
    <row r="62" spans="20:20" x14ac:dyDescent="0.25">
      <c r="T62" s="11"/>
    </row>
    <row r="63" spans="20:20" x14ac:dyDescent="0.25">
      <c r="T63" s="11"/>
    </row>
    <row r="64" spans="20:20" x14ac:dyDescent="0.25">
      <c r="T64" s="11"/>
    </row>
    <row r="65" spans="20:20" x14ac:dyDescent="0.25">
      <c r="T65" s="11"/>
    </row>
    <row r="66" spans="20:20" x14ac:dyDescent="0.25">
      <c r="T66" s="11"/>
    </row>
    <row r="67" spans="20:20" x14ac:dyDescent="0.25">
      <c r="T67" s="11"/>
    </row>
    <row r="68" spans="20:20" x14ac:dyDescent="0.25">
      <c r="T68" s="11"/>
    </row>
    <row r="69" spans="20:20" x14ac:dyDescent="0.25">
      <c r="T69" s="11"/>
    </row>
    <row r="70" spans="20:20" x14ac:dyDescent="0.25">
      <c r="T70" s="11"/>
    </row>
    <row r="71" spans="20:20" x14ac:dyDescent="0.25">
      <c r="T71" s="11"/>
    </row>
    <row r="72" spans="20:20" x14ac:dyDescent="0.25">
      <c r="T72" s="11"/>
    </row>
    <row r="73" spans="20:20" x14ac:dyDescent="0.25">
      <c r="T73" s="11"/>
    </row>
  </sheetData>
  <phoneticPr fontId="3" type="noConversion"/>
  <conditionalFormatting sqref="J2:J31">
    <cfRule type="iconSet" priority="10">
      <iconSet>
        <cfvo type="percent" val="0"/>
        <cfvo type="num" val="0.6"/>
        <cfvo type="num" val="0.7" gte="0"/>
      </iconSet>
    </cfRule>
  </conditionalFormatting>
  <dataValidations count="2">
    <dataValidation type="list" allowBlank="1" showInputMessage="1" showErrorMessage="1" sqref="AN1" xr:uid="{887F3717-C3EA-49D2-854D-FC7A053A21A3}">
      <formula1>$A$1:$AL$1</formula1>
    </dataValidation>
    <dataValidation type="list" allowBlank="1" showInputMessage="1" showErrorMessage="1" sqref="B2:B31" xr:uid="{2E214932-6737-495B-9237-7F5E9DC5B809}">
      <formula1>ListPoste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3F9DC-FCBC-4D03-B54F-F17F8E3CFB36}">
  <dimension ref="A1:T24"/>
  <sheetViews>
    <sheetView zoomScale="78" zoomScaleNormal="100" zoomScaleSheetLayoutView="100" workbookViewId="0">
      <selection activeCell="F20" sqref="F20"/>
    </sheetView>
  </sheetViews>
  <sheetFormatPr baseColWidth="10" defaultColWidth="9.140625" defaultRowHeight="15" x14ac:dyDescent="0.25"/>
  <cols>
    <col min="1" max="1" width="12.42578125" bestFit="1" customWidth="1"/>
    <col min="2" max="2" width="11.85546875" customWidth="1"/>
    <col min="3" max="3" width="13.140625" bestFit="1" customWidth="1"/>
    <col min="4" max="4" width="13.7109375" bestFit="1" customWidth="1"/>
    <col min="5" max="5" width="16.42578125" bestFit="1" customWidth="1"/>
    <col min="6" max="6" width="15.42578125" bestFit="1" customWidth="1"/>
    <col min="7" max="7" width="13.28515625" customWidth="1"/>
    <col min="8" max="10" width="13.28515625" bestFit="1" customWidth="1"/>
    <col min="11" max="11" width="12.140625" bestFit="1" customWidth="1"/>
    <col min="13" max="14" width="13.140625" bestFit="1" customWidth="1"/>
    <col min="15" max="15" width="16.42578125" bestFit="1" customWidth="1"/>
    <col min="16" max="16" width="18.28515625" bestFit="1" customWidth="1"/>
    <col min="17" max="18" width="13.28515625" bestFit="1" customWidth="1"/>
    <col min="19" max="20" width="13.28515625" customWidth="1"/>
    <col min="21" max="22" width="13.28515625" bestFit="1" customWidth="1"/>
  </cols>
  <sheetData>
    <row r="1" spans="1:20" x14ac:dyDescent="0.25">
      <c r="A1" s="11"/>
      <c r="C1" s="18" t="s">
        <v>66</v>
      </c>
      <c r="D1" s="18" t="s">
        <v>6</v>
      </c>
      <c r="E1" s="18" t="s">
        <v>353</v>
      </c>
      <c r="F1" s="18" t="s">
        <v>352</v>
      </c>
      <c r="G1" s="18" t="s">
        <v>10</v>
      </c>
      <c r="H1" s="18" t="s">
        <v>11</v>
      </c>
      <c r="I1" s="18" t="s">
        <v>332</v>
      </c>
      <c r="J1" s="18" t="s">
        <v>333</v>
      </c>
      <c r="M1" s="18" t="s">
        <v>66</v>
      </c>
      <c r="N1" s="18" t="s">
        <v>6</v>
      </c>
      <c r="O1" s="18" t="s">
        <v>353</v>
      </c>
      <c r="P1" s="18" t="s">
        <v>352</v>
      </c>
      <c r="Q1" s="18" t="s">
        <v>10</v>
      </c>
      <c r="R1" s="18" t="s">
        <v>11</v>
      </c>
      <c r="S1" s="18" t="s">
        <v>332</v>
      </c>
      <c r="T1" s="18" t="s">
        <v>333</v>
      </c>
    </row>
    <row r="2" spans="1:20" x14ac:dyDescent="0.25">
      <c r="A2" s="39"/>
      <c r="B2" s="40"/>
      <c r="C2" s="40" t="s">
        <v>348</v>
      </c>
      <c r="D2" s="11">
        <v>50</v>
      </c>
      <c r="E2" s="11">
        <v>45</v>
      </c>
      <c r="F2" s="18">
        <v>1240</v>
      </c>
      <c r="G2" s="41">
        <v>1.81</v>
      </c>
      <c r="H2" s="41">
        <v>3.17</v>
      </c>
      <c r="I2" s="41">
        <v>4.49</v>
      </c>
      <c r="J2" s="41">
        <v>5.87</v>
      </c>
      <c r="M2" s="40" t="s">
        <v>348</v>
      </c>
      <c r="N2" s="11">
        <v>52.5</v>
      </c>
      <c r="O2" s="11"/>
      <c r="P2" s="18"/>
      <c r="Q2" s="41"/>
      <c r="R2" s="41"/>
      <c r="S2" s="41"/>
      <c r="T2" s="41"/>
    </row>
    <row r="3" spans="1:20" x14ac:dyDescent="0.25">
      <c r="A3" s="39"/>
      <c r="B3" s="40"/>
      <c r="C3" s="40" t="s">
        <v>75</v>
      </c>
      <c r="D3" s="11">
        <v>53</v>
      </c>
      <c r="E3" s="11">
        <v>85</v>
      </c>
      <c r="F3" s="18">
        <v>440</v>
      </c>
      <c r="G3" s="41">
        <v>2.02</v>
      </c>
      <c r="H3" s="41">
        <v>3.5</v>
      </c>
      <c r="I3" s="41">
        <v>4.96</v>
      </c>
      <c r="J3" s="41">
        <v>6.53</v>
      </c>
      <c r="M3" s="40" t="s">
        <v>75</v>
      </c>
      <c r="N3" s="11">
        <v>55</v>
      </c>
      <c r="O3" s="11"/>
      <c r="P3" s="18"/>
      <c r="Q3" s="41"/>
      <c r="R3" s="41"/>
      <c r="S3" s="41"/>
      <c r="T3" s="41"/>
    </row>
    <row r="4" spans="1:20" x14ac:dyDescent="0.25">
      <c r="A4" s="39"/>
      <c r="B4" s="40"/>
      <c r="C4" s="40" t="s">
        <v>43</v>
      </c>
      <c r="D4" s="11">
        <v>50</v>
      </c>
      <c r="E4" s="11">
        <v>80</v>
      </c>
      <c r="F4" s="18">
        <v>840</v>
      </c>
      <c r="G4" s="42">
        <v>1.84</v>
      </c>
      <c r="H4" s="42">
        <v>3.28</v>
      </c>
      <c r="I4" s="42">
        <v>4.6399999999999997</v>
      </c>
      <c r="J4" s="42">
        <v>6.09</v>
      </c>
      <c r="M4" s="40" t="s">
        <v>43</v>
      </c>
      <c r="N4" s="11">
        <v>53</v>
      </c>
      <c r="O4" s="11"/>
      <c r="P4" s="18"/>
      <c r="Q4" s="42"/>
      <c r="R4" s="42"/>
      <c r="S4" s="42"/>
      <c r="T4" s="42"/>
    </row>
    <row r="5" spans="1:20" x14ac:dyDescent="0.25">
      <c r="A5" s="39"/>
      <c r="B5" s="40"/>
      <c r="C5" s="40" t="s">
        <v>349</v>
      </c>
      <c r="D5" s="11">
        <v>45</v>
      </c>
      <c r="E5" s="11">
        <v>60</v>
      </c>
      <c r="F5" s="18">
        <v>960</v>
      </c>
      <c r="G5" s="43">
        <v>1.96</v>
      </c>
      <c r="H5" s="43">
        <v>3.47</v>
      </c>
      <c r="I5" s="43">
        <v>4.93</v>
      </c>
      <c r="J5" s="43">
        <v>6.53</v>
      </c>
      <c r="M5" s="40" t="s">
        <v>349</v>
      </c>
      <c r="N5" s="11">
        <v>42.5</v>
      </c>
      <c r="O5" s="11"/>
      <c r="P5" s="18"/>
      <c r="Q5" s="43"/>
      <c r="R5" s="43"/>
      <c r="S5" s="43"/>
      <c r="T5" s="43"/>
    </row>
    <row r="6" spans="1:20" x14ac:dyDescent="0.25">
      <c r="A6" s="39"/>
      <c r="B6" s="40"/>
      <c r="C6" s="40" t="s">
        <v>173</v>
      </c>
      <c r="D6" s="11">
        <v>55</v>
      </c>
      <c r="E6" s="11">
        <v>90</v>
      </c>
      <c r="F6" s="18">
        <v>960</v>
      </c>
      <c r="G6" s="41">
        <v>1.9</v>
      </c>
      <c r="H6" s="41">
        <v>3.3</v>
      </c>
      <c r="I6" s="41">
        <v>4.63</v>
      </c>
      <c r="J6" s="41">
        <v>5.95</v>
      </c>
      <c r="M6" s="40" t="s">
        <v>173</v>
      </c>
      <c r="N6" s="11">
        <v>62.5</v>
      </c>
      <c r="O6" s="11"/>
      <c r="P6" s="18"/>
      <c r="Q6" s="41"/>
      <c r="R6" s="41"/>
      <c r="S6" s="41"/>
      <c r="T6" s="41"/>
    </row>
    <row r="7" spans="1:20" x14ac:dyDescent="0.25">
      <c r="A7" s="39"/>
      <c r="B7" s="40"/>
      <c r="C7" s="40" t="s">
        <v>350</v>
      </c>
      <c r="D7" s="11">
        <v>55</v>
      </c>
      <c r="E7" s="11">
        <v>80</v>
      </c>
      <c r="F7" s="18">
        <v>960</v>
      </c>
      <c r="G7" s="43">
        <v>1.93</v>
      </c>
      <c r="H7" s="43">
        <v>3.4</v>
      </c>
      <c r="I7" s="43">
        <v>4.8099999999999996</v>
      </c>
      <c r="J7" s="43">
        <v>6.34</v>
      </c>
      <c r="M7" s="40" t="s">
        <v>350</v>
      </c>
      <c r="N7" s="11">
        <v>55</v>
      </c>
      <c r="O7" s="11"/>
      <c r="P7" s="18"/>
      <c r="Q7" s="43"/>
      <c r="R7" s="43"/>
      <c r="S7" s="43"/>
      <c r="T7" s="43"/>
    </row>
    <row r="8" spans="1:20" x14ac:dyDescent="0.25">
      <c r="A8" s="39"/>
      <c r="B8" s="40"/>
      <c r="C8" s="40" t="s">
        <v>38</v>
      </c>
      <c r="D8" s="11">
        <v>65</v>
      </c>
      <c r="E8" s="11">
        <v>90</v>
      </c>
      <c r="F8" s="18">
        <v>800</v>
      </c>
      <c r="G8" s="41">
        <v>1.87</v>
      </c>
      <c r="H8" s="41">
        <v>3.25</v>
      </c>
      <c r="I8" s="41">
        <v>4.55</v>
      </c>
      <c r="J8" s="41">
        <v>5.98</v>
      </c>
      <c r="M8" s="40" t="s">
        <v>38</v>
      </c>
      <c r="N8" s="11">
        <v>67.5</v>
      </c>
      <c r="O8" s="11"/>
      <c r="P8" s="18"/>
      <c r="Q8" s="41"/>
      <c r="R8" s="41"/>
      <c r="S8" s="41"/>
      <c r="T8" s="41"/>
    </row>
    <row r="9" spans="1:20" x14ac:dyDescent="0.25">
      <c r="A9" s="39"/>
      <c r="B9" s="40"/>
      <c r="C9" s="40" t="s">
        <v>25</v>
      </c>
      <c r="D9" s="11">
        <v>52.5</v>
      </c>
      <c r="E9" s="11">
        <v>105</v>
      </c>
      <c r="F9" s="18">
        <v>800</v>
      </c>
      <c r="G9" s="41">
        <v>1.86</v>
      </c>
      <c r="H9" s="41">
        <v>3.23</v>
      </c>
      <c r="I9" s="41">
        <v>4.55</v>
      </c>
      <c r="J9" s="41">
        <v>5.82</v>
      </c>
      <c r="M9" s="40" t="s">
        <v>25</v>
      </c>
      <c r="N9" s="11">
        <v>55</v>
      </c>
      <c r="O9" s="11"/>
      <c r="P9" s="18"/>
      <c r="Q9" s="41"/>
      <c r="R9" s="41"/>
      <c r="S9" s="41"/>
      <c r="T9" s="41"/>
    </row>
    <row r="10" spans="1:20" x14ac:dyDescent="0.25">
      <c r="A10" s="39"/>
      <c r="B10" s="40"/>
      <c r="C10" s="40" t="s">
        <v>30</v>
      </c>
      <c r="D10" s="11">
        <v>60</v>
      </c>
      <c r="E10" s="11">
        <v>90</v>
      </c>
      <c r="F10" s="18">
        <v>800</v>
      </c>
      <c r="G10" s="42">
        <v>1.86</v>
      </c>
      <c r="H10" s="42">
        <v>3.18</v>
      </c>
      <c r="I10" s="42">
        <v>4.45</v>
      </c>
      <c r="J10" s="42">
        <v>5.8</v>
      </c>
      <c r="M10" s="40" t="s">
        <v>30</v>
      </c>
      <c r="N10" s="11">
        <v>60</v>
      </c>
      <c r="O10" s="11"/>
      <c r="P10" s="18"/>
      <c r="Q10" s="42"/>
      <c r="R10" s="42"/>
      <c r="S10" s="42"/>
      <c r="T10" s="42"/>
    </row>
    <row r="11" spans="1:20" x14ac:dyDescent="0.25">
      <c r="A11" s="39"/>
      <c r="B11" s="40"/>
      <c r="C11" s="40" t="s">
        <v>351</v>
      </c>
      <c r="D11" s="11">
        <v>60</v>
      </c>
      <c r="E11" s="11">
        <v>110</v>
      </c>
      <c r="F11" s="18">
        <v>960</v>
      </c>
      <c r="G11" s="43">
        <v>1.86</v>
      </c>
      <c r="H11" s="43">
        <v>3.26</v>
      </c>
      <c r="I11" s="43">
        <v>4.59</v>
      </c>
      <c r="J11" s="43">
        <v>6.02</v>
      </c>
      <c r="M11" s="40" t="s">
        <v>351</v>
      </c>
      <c r="N11" s="11">
        <v>62.5</v>
      </c>
      <c r="O11" s="11"/>
      <c r="P11" s="18"/>
      <c r="Q11" s="43"/>
      <c r="R11" s="43"/>
      <c r="S11" s="43"/>
      <c r="T11" s="43"/>
    </row>
    <row r="12" spans="1:20" x14ac:dyDescent="0.25">
      <c r="A12" s="39"/>
      <c r="B12" s="40"/>
      <c r="C12" s="40"/>
    </row>
    <row r="13" spans="1:20" x14ac:dyDescent="0.25">
      <c r="A13" s="39"/>
      <c r="B13" s="40"/>
      <c r="C13" s="40"/>
    </row>
    <row r="14" spans="1:20" x14ac:dyDescent="0.25">
      <c r="A14" s="39"/>
      <c r="B14" s="40"/>
      <c r="C14" s="18" t="s">
        <v>66</v>
      </c>
      <c r="D14" s="18" t="s">
        <v>6</v>
      </c>
      <c r="E14" s="18" t="s">
        <v>353</v>
      </c>
      <c r="F14" s="18" t="s">
        <v>352</v>
      </c>
      <c r="G14" s="18" t="s">
        <v>10</v>
      </c>
      <c r="H14" s="18" t="s">
        <v>11</v>
      </c>
      <c r="I14" s="18" t="s">
        <v>332</v>
      </c>
      <c r="J14" s="18" t="s">
        <v>333</v>
      </c>
      <c r="M14" s="18" t="s">
        <v>66</v>
      </c>
      <c r="N14" s="18" t="s">
        <v>6</v>
      </c>
      <c r="O14" s="18" t="s">
        <v>353</v>
      </c>
      <c r="P14" s="18" t="s">
        <v>352</v>
      </c>
      <c r="Q14" s="18" t="s">
        <v>10</v>
      </c>
      <c r="R14" s="18" t="s">
        <v>11</v>
      </c>
      <c r="S14" s="18" t="s">
        <v>332</v>
      </c>
      <c r="T14" s="18" t="s">
        <v>333</v>
      </c>
    </row>
    <row r="15" spans="1:20" x14ac:dyDescent="0.25">
      <c r="A15" s="39"/>
      <c r="B15" s="40"/>
      <c r="C15" s="11" t="s">
        <v>56</v>
      </c>
      <c r="D15" s="11">
        <v>50</v>
      </c>
      <c r="E15" s="11"/>
      <c r="F15" s="18">
        <v>480</v>
      </c>
      <c r="G15" s="11">
        <v>2.15</v>
      </c>
      <c r="H15" s="11">
        <v>3.75</v>
      </c>
      <c r="I15" s="11">
        <v>5.38</v>
      </c>
      <c r="J15" s="11">
        <v>7.05</v>
      </c>
      <c r="M15" s="11" t="s">
        <v>56</v>
      </c>
      <c r="N15" s="11">
        <v>42.5</v>
      </c>
      <c r="O15" s="11"/>
      <c r="P15" s="18"/>
      <c r="Q15" s="45"/>
      <c r="R15" s="45"/>
      <c r="S15" s="45"/>
      <c r="T15" s="45"/>
    </row>
    <row r="16" spans="1:20" x14ac:dyDescent="0.25">
      <c r="A16" s="39"/>
      <c r="B16" s="40"/>
      <c r="C16" s="11" t="s">
        <v>28</v>
      </c>
      <c r="D16" s="11">
        <v>53</v>
      </c>
      <c r="E16" s="11">
        <v>60</v>
      </c>
      <c r="F16" s="18">
        <v>1160</v>
      </c>
      <c r="G16" s="11">
        <v>1.95</v>
      </c>
      <c r="H16" s="11">
        <v>3.29</v>
      </c>
      <c r="I16" s="11">
        <v>4.63</v>
      </c>
      <c r="J16" s="11">
        <v>5.95</v>
      </c>
      <c r="M16" s="11" t="s">
        <v>28</v>
      </c>
      <c r="N16" s="11">
        <v>55</v>
      </c>
      <c r="O16" s="11"/>
      <c r="P16" s="18"/>
      <c r="Q16" s="45"/>
      <c r="R16" s="45"/>
      <c r="S16" s="45"/>
      <c r="T16" s="45"/>
    </row>
    <row r="17" spans="1:20" x14ac:dyDescent="0.25">
      <c r="A17" s="39"/>
      <c r="B17" s="40"/>
      <c r="C17" s="11" t="s">
        <v>62</v>
      </c>
      <c r="D17" s="11">
        <v>50</v>
      </c>
      <c r="E17" s="11">
        <v>45</v>
      </c>
      <c r="F17" s="44"/>
      <c r="G17" s="11">
        <v>1.93</v>
      </c>
      <c r="H17" s="11">
        <v>3.31</v>
      </c>
      <c r="I17" s="11">
        <v>4.6100000000000003</v>
      </c>
      <c r="J17" s="11">
        <v>5.94</v>
      </c>
      <c r="M17" s="11" t="s">
        <v>62</v>
      </c>
      <c r="N17" s="11">
        <v>45</v>
      </c>
      <c r="O17" s="11"/>
      <c r="P17" s="44"/>
      <c r="Q17" s="46"/>
      <c r="R17" s="46"/>
      <c r="S17" s="46"/>
      <c r="T17" s="46"/>
    </row>
    <row r="18" spans="1:20" x14ac:dyDescent="0.25">
      <c r="A18" s="39"/>
      <c r="B18" s="40"/>
      <c r="C18" s="11" t="s">
        <v>55</v>
      </c>
      <c r="D18" s="11">
        <v>55</v>
      </c>
      <c r="E18" s="11">
        <v>57.5</v>
      </c>
      <c r="F18" s="18">
        <v>360</v>
      </c>
      <c r="G18" s="38">
        <v>1.95</v>
      </c>
      <c r="H18" s="38">
        <v>3.45</v>
      </c>
      <c r="I18" s="38">
        <v>4.8899999999999997</v>
      </c>
      <c r="J18" s="38">
        <v>6.43</v>
      </c>
      <c r="M18" s="11" t="s">
        <v>55</v>
      </c>
      <c r="N18" s="11">
        <v>60</v>
      </c>
      <c r="O18" s="11"/>
      <c r="P18" s="18"/>
      <c r="Q18" s="47"/>
      <c r="R18" s="47"/>
      <c r="S18" s="47"/>
      <c r="T18" s="47"/>
    </row>
    <row r="19" spans="1:20" x14ac:dyDescent="0.25">
      <c r="A19" s="39"/>
      <c r="B19" s="40"/>
      <c r="C19" s="11" t="s">
        <v>46</v>
      </c>
      <c r="D19" s="11">
        <v>65</v>
      </c>
      <c r="E19" s="11">
        <v>55</v>
      </c>
      <c r="F19" s="44">
        <v>480</v>
      </c>
      <c r="G19" s="49">
        <v>1.93</v>
      </c>
      <c r="H19" s="49">
        <v>3.39</v>
      </c>
      <c r="I19" s="49">
        <v>4.8099999999999996</v>
      </c>
      <c r="J19" s="49">
        <v>6.34</v>
      </c>
      <c r="M19" s="11" t="s">
        <v>46</v>
      </c>
      <c r="N19" s="11">
        <v>50</v>
      </c>
      <c r="O19" s="11"/>
      <c r="P19" s="18"/>
      <c r="Q19" s="45"/>
      <c r="R19" s="45"/>
      <c r="S19" s="45"/>
      <c r="T19" s="45"/>
    </row>
    <row r="20" spans="1:20" x14ac:dyDescent="0.25">
      <c r="A20" s="39"/>
      <c r="B20" s="40"/>
      <c r="C20" s="11" t="s">
        <v>51</v>
      </c>
      <c r="D20" s="11">
        <v>52.5</v>
      </c>
      <c r="E20" s="11">
        <v>53</v>
      </c>
      <c r="F20" s="18">
        <v>960</v>
      </c>
      <c r="G20" s="11">
        <v>1.89</v>
      </c>
      <c r="H20" s="11">
        <v>3.35</v>
      </c>
      <c r="I20" s="11">
        <v>4.71</v>
      </c>
      <c r="J20" s="11">
        <v>6.22</v>
      </c>
      <c r="M20" s="11" t="s">
        <v>51</v>
      </c>
      <c r="N20" s="11">
        <v>53</v>
      </c>
      <c r="O20" s="11"/>
      <c r="P20" s="18"/>
      <c r="Q20" s="47"/>
      <c r="R20" s="47"/>
      <c r="S20" s="47"/>
      <c r="T20" s="47"/>
    </row>
    <row r="21" spans="1:20" x14ac:dyDescent="0.25">
      <c r="C21" s="11" t="s">
        <v>39</v>
      </c>
      <c r="D21" s="11">
        <v>60</v>
      </c>
      <c r="E21" s="11">
        <v>45</v>
      </c>
      <c r="F21" s="18">
        <v>960</v>
      </c>
      <c r="G21" s="11">
        <v>1.79</v>
      </c>
      <c r="H21" s="11">
        <v>3.14</v>
      </c>
      <c r="I21" s="11">
        <v>4.41</v>
      </c>
      <c r="J21" s="11">
        <v>5.82</v>
      </c>
      <c r="M21" s="11" t="s">
        <v>39</v>
      </c>
      <c r="N21" s="11">
        <v>45</v>
      </c>
      <c r="O21" s="11"/>
      <c r="P21" s="18"/>
      <c r="Q21" s="45"/>
      <c r="R21" s="45"/>
      <c r="S21" s="45"/>
      <c r="T21" s="45"/>
    </row>
    <row r="22" spans="1:20" x14ac:dyDescent="0.25">
      <c r="C22" s="11" t="s">
        <v>33</v>
      </c>
      <c r="D22" s="11">
        <v>60</v>
      </c>
      <c r="E22" s="11"/>
      <c r="F22" s="18">
        <v>960</v>
      </c>
      <c r="G22" s="11">
        <v>1.97</v>
      </c>
      <c r="H22" s="11">
        <v>3.41</v>
      </c>
      <c r="I22" s="11">
        <v>4.79</v>
      </c>
      <c r="J22" s="11">
        <v>6.13</v>
      </c>
      <c r="L22" s="48"/>
      <c r="M22" s="11" t="s">
        <v>33</v>
      </c>
      <c r="N22" s="11">
        <v>50</v>
      </c>
      <c r="O22" s="11"/>
      <c r="P22" s="18"/>
      <c r="Q22" s="45"/>
      <c r="R22" s="45"/>
      <c r="S22" s="45"/>
      <c r="T22" s="45"/>
    </row>
    <row r="23" spans="1:20" x14ac:dyDescent="0.25">
      <c r="C23" s="11" t="s">
        <v>40</v>
      </c>
      <c r="D23" s="11">
        <v>45</v>
      </c>
      <c r="E23" s="11">
        <v>42.5</v>
      </c>
      <c r="F23" s="18"/>
      <c r="G23" s="11">
        <v>1.79</v>
      </c>
      <c r="H23" s="11">
        <v>3.15</v>
      </c>
      <c r="I23" s="11">
        <v>4.43</v>
      </c>
      <c r="J23" s="11">
        <v>5.83</v>
      </c>
      <c r="M23" s="11" t="s">
        <v>40</v>
      </c>
      <c r="N23" s="11">
        <v>45</v>
      </c>
      <c r="O23" s="11"/>
      <c r="P23" s="44"/>
      <c r="Q23" s="46"/>
      <c r="R23" s="46"/>
      <c r="S23" s="46"/>
      <c r="T23" s="46"/>
    </row>
    <row r="24" spans="1:20" x14ac:dyDescent="0.25">
      <c r="A24" s="11"/>
      <c r="C24" s="11" t="s">
        <v>354</v>
      </c>
      <c r="D24" s="11">
        <v>55</v>
      </c>
      <c r="E24" s="11">
        <v>40</v>
      </c>
      <c r="F24" s="18"/>
      <c r="G24" s="11">
        <v>2.0699999999999998</v>
      </c>
      <c r="H24" s="11">
        <v>3.62</v>
      </c>
      <c r="I24" s="11">
        <v>5.17</v>
      </c>
      <c r="J24" s="11">
        <v>6.75</v>
      </c>
      <c r="M24" s="11" t="s">
        <v>354</v>
      </c>
      <c r="N24" s="11">
        <v>40</v>
      </c>
      <c r="O24" s="11"/>
      <c r="P24" s="18"/>
      <c r="Q24" s="47"/>
      <c r="R24" s="47"/>
      <c r="S24" s="47"/>
      <c r="T24" s="47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D993A-A996-4399-8611-C76317756355}">
  <dimension ref="A1:V98"/>
  <sheetViews>
    <sheetView zoomScale="84" workbookViewId="0">
      <selection activeCell="V10" sqref="V10"/>
    </sheetView>
  </sheetViews>
  <sheetFormatPr baseColWidth="10" defaultColWidth="10.5703125" defaultRowHeight="15" x14ac:dyDescent="0.25"/>
  <cols>
    <col min="2" max="2" width="13.28515625" customWidth="1"/>
    <col min="6" max="6" width="36" customWidth="1"/>
    <col min="7" max="7" width="2.5703125" customWidth="1"/>
    <col min="8" max="8" width="46.28515625" bestFit="1" customWidth="1"/>
    <col min="9" max="9" width="2.7109375" customWidth="1"/>
    <col min="10" max="10" width="39" bestFit="1" customWidth="1"/>
    <col min="11" max="11" width="3.42578125" customWidth="1"/>
    <col min="12" max="12" width="38" bestFit="1" customWidth="1"/>
    <col min="13" max="13" width="3.140625" customWidth="1"/>
    <col min="14" max="14" width="29.85546875" bestFit="1" customWidth="1"/>
    <col min="15" max="15" width="3.5703125" customWidth="1"/>
    <col min="16" max="16" width="41.5703125" bestFit="1" customWidth="1"/>
    <col min="20" max="20" width="12.7109375" customWidth="1"/>
  </cols>
  <sheetData>
    <row r="1" spans="1:22" x14ac:dyDescent="0.25">
      <c r="A1" s="1" t="s">
        <v>66</v>
      </c>
      <c r="B1" s="1" t="s">
        <v>1</v>
      </c>
      <c r="D1" s="1" t="s">
        <v>67</v>
      </c>
      <c r="F1" s="1" t="s">
        <v>68</v>
      </c>
      <c r="H1" s="1" t="s">
        <v>69</v>
      </c>
      <c r="J1" s="1" t="s">
        <v>70</v>
      </c>
      <c r="L1" s="1" t="s">
        <v>71</v>
      </c>
      <c r="N1" s="1" t="s">
        <v>72</v>
      </c>
      <c r="P1" t="s">
        <v>73</v>
      </c>
      <c r="V1" s="1" t="s">
        <v>74</v>
      </c>
    </row>
    <row r="2" spans="1:22" x14ac:dyDescent="0.25">
      <c r="A2" t="s">
        <v>75</v>
      </c>
      <c r="B2" t="s">
        <v>45</v>
      </c>
      <c r="D2" t="s">
        <v>5</v>
      </c>
      <c r="F2" t="s">
        <v>76</v>
      </c>
      <c r="H2" t="s">
        <v>77</v>
      </c>
      <c r="J2" t="s">
        <v>78</v>
      </c>
      <c r="L2" t="s">
        <v>79</v>
      </c>
      <c r="N2" t="s">
        <v>80</v>
      </c>
      <c r="P2" t="s">
        <v>81</v>
      </c>
      <c r="S2" t="s">
        <v>82</v>
      </c>
      <c r="T2" t="s">
        <v>83</v>
      </c>
      <c r="V2" t="s">
        <v>84</v>
      </c>
    </row>
    <row r="3" spans="1:22" x14ac:dyDescent="0.25">
      <c r="A3" t="s">
        <v>85</v>
      </c>
      <c r="B3" t="s">
        <v>49</v>
      </c>
      <c r="D3" t="s">
        <v>8</v>
      </c>
      <c r="F3" t="s">
        <v>86</v>
      </c>
      <c r="H3" t="s">
        <v>87</v>
      </c>
      <c r="J3" t="s">
        <v>88</v>
      </c>
      <c r="L3" t="s">
        <v>89</v>
      </c>
      <c r="N3" t="s">
        <v>90</v>
      </c>
      <c r="P3" t="s">
        <v>91</v>
      </c>
      <c r="S3" s="6">
        <v>45579</v>
      </c>
      <c r="T3" t="s">
        <v>92</v>
      </c>
    </row>
    <row r="4" spans="1:22" x14ac:dyDescent="0.25">
      <c r="A4" t="s">
        <v>34</v>
      </c>
      <c r="B4" t="s">
        <v>29</v>
      </c>
      <c r="D4" t="s">
        <v>6</v>
      </c>
      <c r="F4" t="s">
        <v>93</v>
      </c>
      <c r="H4" t="s">
        <v>94</v>
      </c>
      <c r="J4" t="s">
        <v>95</v>
      </c>
      <c r="L4" t="s">
        <v>96</v>
      </c>
      <c r="N4" t="s">
        <v>97</v>
      </c>
      <c r="P4" t="s">
        <v>98</v>
      </c>
      <c r="S4" s="6">
        <f>S3+7</f>
        <v>45586</v>
      </c>
      <c r="T4" t="s">
        <v>99</v>
      </c>
    </row>
    <row r="5" spans="1:22" x14ac:dyDescent="0.25">
      <c r="A5" t="s">
        <v>62</v>
      </c>
      <c r="B5" t="s">
        <v>36</v>
      </c>
      <c r="D5" t="s">
        <v>100</v>
      </c>
      <c r="F5" t="s">
        <v>101</v>
      </c>
      <c r="H5" t="s">
        <v>102</v>
      </c>
      <c r="J5" t="s">
        <v>103</v>
      </c>
      <c r="L5" t="s">
        <v>104</v>
      </c>
      <c r="N5" t="s">
        <v>105</v>
      </c>
      <c r="P5" t="s">
        <v>106</v>
      </c>
      <c r="S5" s="6">
        <f t="shared" ref="S5:S39" si="0">S4+7</f>
        <v>45593</v>
      </c>
      <c r="T5" t="s">
        <v>107</v>
      </c>
    </row>
    <row r="6" spans="1:22" x14ac:dyDescent="0.25">
      <c r="A6" t="s">
        <v>48</v>
      </c>
      <c r="B6" t="s">
        <v>31</v>
      </c>
      <c r="D6" t="s">
        <v>108</v>
      </c>
      <c r="F6" t="s">
        <v>109</v>
      </c>
      <c r="H6" t="s">
        <v>110</v>
      </c>
      <c r="J6" t="s">
        <v>111</v>
      </c>
      <c r="L6" t="s">
        <v>112</v>
      </c>
      <c r="N6" t="s">
        <v>113</v>
      </c>
      <c r="P6" t="s">
        <v>114</v>
      </c>
      <c r="S6" s="6">
        <f t="shared" si="0"/>
        <v>45600</v>
      </c>
      <c r="T6" t="s">
        <v>115</v>
      </c>
    </row>
    <row r="7" spans="1:22" x14ac:dyDescent="0.25">
      <c r="A7" t="s">
        <v>116</v>
      </c>
      <c r="B7" t="s">
        <v>296</v>
      </c>
      <c r="D7" t="s">
        <v>10</v>
      </c>
      <c r="F7" t="s">
        <v>117</v>
      </c>
      <c r="H7" t="s">
        <v>118</v>
      </c>
      <c r="J7" t="s">
        <v>119</v>
      </c>
      <c r="L7" t="s">
        <v>120</v>
      </c>
      <c r="N7" t="s">
        <v>121</v>
      </c>
      <c r="P7" t="s">
        <v>122</v>
      </c>
      <c r="S7" s="6">
        <f t="shared" si="0"/>
        <v>45607</v>
      </c>
      <c r="T7" t="s">
        <v>123</v>
      </c>
    </row>
    <row r="8" spans="1:22" x14ac:dyDescent="0.25">
      <c r="A8" t="s">
        <v>124</v>
      </c>
      <c r="B8" t="s">
        <v>295</v>
      </c>
      <c r="D8" t="s">
        <v>125</v>
      </c>
      <c r="F8" t="s">
        <v>126</v>
      </c>
      <c r="H8" t="s">
        <v>127</v>
      </c>
      <c r="J8" t="s">
        <v>128</v>
      </c>
      <c r="L8" t="s">
        <v>129</v>
      </c>
      <c r="N8" t="s">
        <v>130</v>
      </c>
      <c r="P8" t="s">
        <v>131</v>
      </c>
      <c r="S8" s="6">
        <f t="shared" si="0"/>
        <v>45614</v>
      </c>
      <c r="T8" t="s">
        <v>132</v>
      </c>
    </row>
    <row r="9" spans="1:22" x14ac:dyDescent="0.25">
      <c r="A9" t="s">
        <v>43</v>
      </c>
      <c r="D9" t="s">
        <v>13</v>
      </c>
      <c r="F9" t="s">
        <v>133</v>
      </c>
      <c r="H9" t="s">
        <v>134</v>
      </c>
      <c r="J9" t="s">
        <v>135</v>
      </c>
      <c r="L9" t="s">
        <v>136</v>
      </c>
      <c r="N9" t="s">
        <v>137</v>
      </c>
      <c r="P9" t="s">
        <v>138</v>
      </c>
      <c r="S9" s="6">
        <f t="shared" si="0"/>
        <v>45621</v>
      </c>
      <c r="T9" t="s">
        <v>139</v>
      </c>
    </row>
    <row r="10" spans="1:22" x14ac:dyDescent="0.25">
      <c r="A10" t="s">
        <v>140</v>
      </c>
      <c r="D10" t="s">
        <v>141</v>
      </c>
      <c r="F10" t="s">
        <v>142</v>
      </c>
      <c r="H10" t="s">
        <v>143</v>
      </c>
      <c r="J10" t="s">
        <v>144</v>
      </c>
      <c r="L10" t="s">
        <v>145</v>
      </c>
      <c r="N10" t="s">
        <v>146</v>
      </c>
      <c r="P10" t="s">
        <v>147</v>
      </c>
      <c r="S10" s="6">
        <f t="shared" si="0"/>
        <v>45628</v>
      </c>
      <c r="T10" t="s">
        <v>148</v>
      </c>
    </row>
    <row r="11" spans="1:22" x14ac:dyDescent="0.25">
      <c r="A11" t="s">
        <v>149</v>
      </c>
      <c r="F11" t="s">
        <v>150</v>
      </c>
      <c r="H11" t="s">
        <v>151</v>
      </c>
      <c r="J11" t="s">
        <v>152</v>
      </c>
      <c r="L11" t="s">
        <v>153</v>
      </c>
      <c r="N11" t="s">
        <v>154</v>
      </c>
      <c r="P11" t="s">
        <v>155</v>
      </c>
      <c r="S11" s="6">
        <f t="shared" si="0"/>
        <v>45635</v>
      </c>
      <c r="T11" t="s">
        <v>156</v>
      </c>
    </row>
    <row r="12" spans="1:22" x14ac:dyDescent="0.25">
      <c r="A12" t="s">
        <v>60</v>
      </c>
      <c r="B12" s="1" t="s">
        <v>157</v>
      </c>
      <c r="F12" t="s">
        <v>158</v>
      </c>
      <c r="H12" t="s">
        <v>159</v>
      </c>
      <c r="J12" t="s">
        <v>160</v>
      </c>
      <c r="L12" t="s">
        <v>161</v>
      </c>
      <c r="N12" t="s">
        <v>162</v>
      </c>
      <c r="P12" t="s">
        <v>163</v>
      </c>
      <c r="S12" s="6">
        <f>S11+7</f>
        <v>45642</v>
      </c>
      <c r="T12" t="s">
        <v>164</v>
      </c>
    </row>
    <row r="13" spans="1:22" x14ac:dyDescent="0.25">
      <c r="A13" t="s">
        <v>165</v>
      </c>
      <c r="B13" t="s">
        <v>68</v>
      </c>
      <c r="F13" t="s">
        <v>166</v>
      </c>
      <c r="H13" t="s">
        <v>167</v>
      </c>
      <c r="J13" t="s">
        <v>168</v>
      </c>
      <c r="L13" t="s">
        <v>169</v>
      </c>
      <c r="N13" t="s">
        <v>170</v>
      </c>
      <c r="P13" t="s">
        <v>171</v>
      </c>
      <c r="S13" s="6">
        <f t="shared" si="0"/>
        <v>45649</v>
      </c>
      <c r="T13" t="s">
        <v>172</v>
      </c>
    </row>
    <row r="14" spans="1:22" x14ac:dyDescent="0.25">
      <c r="A14" t="s">
        <v>173</v>
      </c>
      <c r="B14" t="s">
        <v>174</v>
      </c>
      <c r="F14" t="s">
        <v>175</v>
      </c>
      <c r="H14" t="s">
        <v>176</v>
      </c>
      <c r="J14" t="s">
        <v>177</v>
      </c>
      <c r="L14" t="s">
        <v>178</v>
      </c>
      <c r="N14" t="s">
        <v>179</v>
      </c>
      <c r="P14" t="s">
        <v>180</v>
      </c>
      <c r="S14" s="6">
        <f t="shared" si="0"/>
        <v>45656</v>
      </c>
      <c r="T14" t="s">
        <v>181</v>
      </c>
    </row>
    <row r="15" spans="1:22" x14ac:dyDescent="0.25">
      <c r="A15" t="s">
        <v>46</v>
      </c>
      <c r="B15" t="s">
        <v>182</v>
      </c>
      <c r="D15" s="2"/>
      <c r="F15" t="s">
        <v>183</v>
      </c>
      <c r="H15" t="s">
        <v>184</v>
      </c>
      <c r="J15" t="s">
        <v>185</v>
      </c>
      <c r="L15" t="s">
        <v>186</v>
      </c>
      <c r="P15" t="s">
        <v>187</v>
      </c>
      <c r="S15" s="6">
        <f t="shared" si="0"/>
        <v>45663</v>
      </c>
      <c r="T15" t="s">
        <v>188</v>
      </c>
    </row>
    <row r="16" spans="1:22" x14ac:dyDescent="0.25">
      <c r="A16" t="s">
        <v>189</v>
      </c>
      <c r="B16" t="s">
        <v>71</v>
      </c>
      <c r="F16" t="s">
        <v>190</v>
      </c>
      <c r="H16" t="s">
        <v>191</v>
      </c>
      <c r="J16" t="s">
        <v>192</v>
      </c>
      <c r="L16" t="s">
        <v>193</v>
      </c>
      <c r="P16" t="s">
        <v>194</v>
      </c>
      <c r="S16" s="6">
        <f t="shared" si="0"/>
        <v>45670</v>
      </c>
      <c r="T16" t="s">
        <v>195</v>
      </c>
    </row>
    <row r="17" spans="1:20" x14ac:dyDescent="0.25">
      <c r="A17" t="s">
        <v>196</v>
      </c>
      <c r="B17" t="s">
        <v>72</v>
      </c>
      <c r="F17" t="s">
        <v>197</v>
      </c>
      <c r="H17" t="s">
        <v>198</v>
      </c>
      <c r="J17" t="s">
        <v>199</v>
      </c>
      <c r="L17" t="s">
        <v>200</v>
      </c>
      <c r="S17" s="6">
        <f t="shared" si="0"/>
        <v>45677</v>
      </c>
      <c r="T17" t="s">
        <v>201</v>
      </c>
    </row>
    <row r="18" spans="1:20" x14ac:dyDescent="0.25">
      <c r="A18" t="s">
        <v>202</v>
      </c>
      <c r="B18" t="s">
        <v>203</v>
      </c>
      <c r="F18" t="s">
        <v>204</v>
      </c>
      <c r="H18" t="s">
        <v>205</v>
      </c>
      <c r="J18" t="s">
        <v>206</v>
      </c>
      <c r="L18" t="s">
        <v>207</v>
      </c>
      <c r="S18" s="6">
        <f t="shared" si="0"/>
        <v>45684</v>
      </c>
      <c r="T18" t="s">
        <v>208</v>
      </c>
    </row>
    <row r="19" spans="1:20" x14ac:dyDescent="0.25">
      <c r="A19" t="s">
        <v>209</v>
      </c>
      <c r="F19" t="s">
        <v>210</v>
      </c>
      <c r="H19" t="s">
        <v>211</v>
      </c>
      <c r="J19" t="s">
        <v>212</v>
      </c>
      <c r="L19" t="s">
        <v>213</v>
      </c>
      <c r="S19" s="6">
        <f t="shared" si="0"/>
        <v>45691</v>
      </c>
      <c r="T19" t="s">
        <v>214</v>
      </c>
    </row>
    <row r="20" spans="1:20" x14ac:dyDescent="0.25">
      <c r="A20" t="s">
        <v>215</v>
      </c>
      <c r="F20" t="s">
        <v>216</v>
      </c>
      <c r="H20" t="s">
        <v>217</v>
      </c>
      <c r="J20" t="s">
        <v>218</v>
      </c>
      <c r="L20" t="s">
        <v>219</v>
      </c>
      <c r="S20" s="6">
        <f t="shared" si="0"/>
        <v>45698</v>
      </c>
      <c r="T20" t="s">
        <v>220</v>
      </c>
    </row>
    <row r="21" spans="1:20" x14ac:dyDescent="0.25">
      <c r="A21" t="s">
        <v>221</v>
      </c>
      <c r="F21" t="s">
        <v>222</v>
      </c>
      <c r="H21" t="s">
        <v>223</v>
      </c>
      <c r="J21" t="s">
        <v>224</v>
      </c>
      <c r="L21" t="s">
        <v>225</v>
      </c>
      <c r="S21" s="6">
        <f t="shared" si="0"/>
        <v>45705</v>
      </c>
      <c r="T21" t="s">
        <v>226</v>
      </c>
    </row>
    <row r="22" spans="1:20" x14ac:dyDescent="0.25">
      <c r="A22" t="s">
        <v>227</v>
      </c>
      <c r="F22" t="s">
        <v>228</v>
      </c>
      <c r="H22" t="s">
        <v>229</v>
      </c>
      <c r="J22" t="s">
        <v>230</v>
      </c>
      <c r="L22" t="s">
        <v>231</v>
      </c>
      <c r="S22" s="6">
        <f t="shared" si="0"/>
        <v>45712</v>
      </c>
      <c r="T22" t="s">
        <v>232</v>
      </c>
    </row>
    <row r="23" spans="1:20" x14ac:dyDescent="0.25">
      <c r="A23" t="s">
        <v>233</v>
      </c>
      <c r="H23" t="s">
        <v>234</v>
      </c>
      <c r="J23" t="s">
        <v>80</v>
      </c>
      <c r="L23" t="s">
        <v>235</v>
      </c>
      <c r="S23" s="6">
        <f t="shared" si="0"/>
        <v>45719</v>
      </c>
      <c r="T23" t="s">
        <v>236</v>
      </c>
    </row>
    <row r="24" spans="1:20" x14ac:dyDescent="0.25">
      <c r="A24" t="s">
        <v>237</v>
      </c>
      <c r="H24" t="s">
        <v>238</v>
      </c>
      <c r="J24" t="s">
        <v>239</v>
      </c>
      <c r="L24" t="s">
        <v>240</v>
      </c>
      <c r="S24" s="6">
        <f t="shared" si="0"/>
        <v>45726</v>
      </c>
      <c r="T24" t="s">
        <v>241</v>
      </c>
    </row>
    <row r="25" spans="1:20" x14ac:dyDescent="0.25">
      <c r="A25" t="s">
        <v>65</v>
      </c>
      <c r="H25" t="s">
        <v>242</v>
      </c>
      <c r="J25" t="s">
        <v>90</v>
      </c>
      <c r="L25" t="s">
        <v>243</v>
      </c>
      <c r="S25" s="6">
        <f t="shared" si="0"/>
        <v>45733</v>
      </c>
      <c r="T25" t="s">
        <v>244</v>
      </c>
    </row>
    <row r="26" spans="1:20" x14ac:dyDescent="0.25">
      <c r="A26" t="s">
        <v>245</v>
      </c>
      <c r="H26" t="s">
        <v>246</v>
      </c>
      <c r="J26" t="s">
        <v>247</v>
      </c>
      <c r="L26" t="s">
        <v>248</v>
      </c>
      <c r="S26" s="6">
        <f t="shared" si="0"/>
        <v>45740</v>
      </c>
      <c r="T26" t="s">
        <v>249</v>
      </c>
    </row>
    <row r="27" spans="1:20" x14ac:dyDescent="0.25">
      <c r="A27" t="s">
        <v>54</v>
      </c>
      <c r="H27" t="s">
        <v>250</v>
      </c>
      <c r="J27" t="s">
        <v>251</v>
      </c>
      <c r="L27" t="s">
        <v>252</v>
      </c>
      <c r="S27" s="6">
        <f t="shared" si="0"/>
        <v>45747</v>
      </c>
      <c r="T27" t="s">
        <v>253</v>
      </c>
    </row>
    <row r="28" spans="1:20" x14ac:dyDescent="0.25">
      <c r="H28" t="s">
        <v>254</v>
      </c>
      <c r="J28" t="s">
        <v>255</v>
      </c>
      <c r="L28" t="s">
        <v>256</v>
      </c>
      <c r="S28" s="6">
        <f t="shared" si="0"/>
        <v>45754</v>
      </c>
      <c r="T28" t="s">
        <v>257</v>
      </c>
    </row>
    <row r="29" spans="1:20" x14ac:dyDescent="0.25">
      <c r="B29" s="1"/>
      <c r="H29" t="s">
        <v>258</v>
      </c>
      <c r="L29" t="s">
        <v>259</v>
      </c>
      <c r="S29" s="6">
        <f t="shared" si="0"/>
        <v>45761</v>
      </c>
      <c r="T29" t="s">
        <v>260</v>
      </c>
    </row>
    <row r="30" spans="1:20" x14ac:dyDescent="0.25">
      <c r="C30" s="6"/>
      <c r="H30" t="s">
        <v>261</v>
      </c>
      <c r="L30" t="s">
        <v>262</v>
      </c>
      <c r="S30" s="6">
        <f t="shared" si="0"/>
        <v>45768</v>
      </c>
      <c r="T30" t="s">
        <v>263</v>
      </c>
    </row>
    <row r="31" spans="1:20" x14ac:dyDescent="0.25">
      <c r="C31" s="6"/>
      <c r="H31" t="s">
        <v>264</v>
      </c>
      <c r="L31" t="s">
        <v>265</v>
      </c>
      <c r="S31" s="6">
        <f t="shared" si="0"/>
        <v>45775</v>
      </c>
      <c r="T31" t="s">
        <v>266</v>
      </c>
    </row>
    <row r="32" spans="1:20" x14ac:dyDescent="0.25">
      <c r="C32" s="6"/>
      <c r="H32" t="s">
        <v>267</v>
      </c>
      <c r="L32" t="s">
        <v>268</v>
      </c>
      <c r="S32" s="6">
        <f t="shared" si="0"/>
        <v>45782</v>
      </c>
      <c r="T32" t="s">
        <v>269</v>
      </c>
    </row>
    <row r="33" spans="3:20" x14ac:dyDescent="0.25">
      <c r="C33" s="6"/>
      <c r="H33" t="s">
        <v>270</v>
      </c>
      <c r="L33" t="s">
        <v>271</v>
      </c>
      <c r="S33" s="6">
        <f t="shared" si="0"/>
        <v>45789</v>
      </c>
      <c r="T33" t="s">
        <v>272</v>
      </c>
    </row>
    <row r="34" spans="3:20" x14ac:dyDescent="0.25">
      <c r="C34" s="6"/>
      <c r="H34" t="s">
        <v>273</v>
      </c>
      <c r="L34" t="s">
        <v>274</v>
      </c>
      <c r="S34" s="6">
        <f t="shared" si="0"/>
        <v>45796</v>
      </c>
      <c r="T34" t="s">
        <v>275</v>
      </c>
    </row>
    <row r="35" spans="3:20" x14ac:dyDescent="0.25">
      <c r="C35" s="6"/>
      <c r="H35" t="s">
        <v>276</v>
      </c>
      <c r="L35" t="s">
        <v>239</v>
      </c>
      <c r="S35" s="6">
        <f t="shared" si="0"/>
        <v>45803</v>
      </c>
      <c r="T35" t="s">
        <v>277</v>
      </c>
    </row>
    <row r="36" spans="3:20" x14ac:dyDescent="0.25">
      <c r="C36" s="6"/>
      <c r="H36" t="s">
        <v>278</v>
      </c>
      <c r="L36" t="s">
        <v>279</v>
      </c>
      <c r="S36" s="6">
        <f t="shared" si="0"/>
        <v>45810</v>
      </c>
      <c r="T36" t="s">
        <v>280</v>
      </c>
    </row>
    <row r="37" spans="3:20" x14ac:dyDescent="0.25">
      <c r="C37" s="6"/>
      <c r="H37" t="s">
        <v>281</v>
      </c>
      <c r="L37" t="s">
        <v>251</v>
      </c>
      <c r="S37" s="6">
        <f t="shared" si="0"/>
        <v>45817</v>
      </c>
      <c r="T37" t="s">
        <v>282</v>
      </c>
    </row>
    <row r="38" spans="3:20" x14ac:dyDescent="0.25">
      <c r="C38" s="6"/>
      <c r="H38" t="s">
        <v>283</v>
      </c>
      <c r="L38" t="s">
        <v>284</v>
      </c>
      <c r="S38" s="6">
        <f t="shared" si="0"/>
        <v>45824</v>
      </c>
      <c r="T38" t="s">
        <v>285</v>
      </c>
    </row>
    <row r="39" spans="3:20" x14ac:dyDescent="0.25">
      <c r="C39" s="6"/>
      <c r="H39" t="s">
        <v>286</v>
      </c>
      <c r="L39" t="s">
        <v>287</v>
      </c>
      <c r="S39" s="6">
        <f t="shared" si="0"/>
        <v>45831</v>
      </c>
      <c r="T39" t="s">
        <v>288</v>
      </c>
    </row>
    <row r="40" spans="3:20" x14ac:dyDescent="0.25">
      <c r="C40" s="6"/>
      <c r="H40" t="s">
        <v>289</v>
      </c>
      <c r="L40" t="s">
        <v>290</v>
      </c>
    </row>
    <row r="41" spans="3:20" x14ac:dyDescent="0.25">
      <c r="C41" s="6"/>
      <c r="H41" t="s">
        <v>291</v>
      </c>
      <c r="L41" t="s">
        <v>255</v>
      </c>
    </row>
    <row r="42" spans="3:20" x14ac:dyDescent="0.25">
      <c r="C42" s="6"/>
      <c r="L42" t="s">
        <v>292</v>
      </c>
    </row>
    <row r="43" spans="3:20" x14ac:dyDescent="0.25">
      <c r="C43" s="6"/>
    </row>
    <row r="44" spans="3:20" x14ac:dyDescent="0.25">
      <c r="C44" s="6"/>
    </row>
    <row r="45" spans="3:20" x14ac:dyDescent="0.25">
      <c r="C45" s="6"/>
    </row>
    <row r="46" spans="3:20" x14ac:dyDescent="0.25">
      <c r="C46" s="6"/>
    </row>
    <row r="47" spans="3:20" x14ac:dyDescent="0.25">
      <c r="C47" s="6"/>
    </row>
    <row r="48" spans="3:20" x14ac:dyDescent="0.25">
      <c r="C48" s="6"/>
    </row>
    <row r="49" spans="3:3" x14ac:dyDescent="0.25">
      <c r="C49" s="6"/>
    </row>
    <row r="50" spans="3:3" x14ac:dyDescent="0.25">
      <c r="C50" s="6"/>
    </row>
    <row r="51" spans="3:3" x14ac:dyDescent="0.25">
      <c r="C51" s="6"/>
    </row>
    <row r="52" spans="3:3" x14ac:dyDescent="0.25">
      <c r="C52" s="6"/>
    </row>
    <row r="53" spans="3:3" x14ac:dyDescent="0.25">
      <c r="C53" s="6"/>
    </row>
    <row r="54" spans="3:3" x14ac:dyDescent="0.25">
      <c r="C54" s="6"/>
    </row>
    <row r="55" spans="3:3" x14ac:dyDescent="0.25">
      <c r="C55" s="6"/>
    </row>
    <row r="56" spans="3:3" x14ac:dyDescent="0.25">
      <c r="C56" s="6"/>
    </row>
    <row r="57" spans="3:3" x14ac:dyDescent="0.25">
      <c r="C57" s="6"/>
    </row>
    <row r="58" spans="3:3" x14ac:dyDescent="0.25">
      <c r="C58" s="6"/>
    </row>
    <row r="59" spans="3:3" x14ac:dyDescent="0.25">
      <c r="C59" s="6"/>
    </row>
    <row r="60" spans="3:3" x14ac:dyDescent="0.25">
      <c r="C60" s="6"/>
    </row>
    <row r="61" spans="3:3" x14ac:dyDescent="0.25">
      <c r="C61" s="6"/>
    </row>
    <row r="62" spans="3:3" x14ac:dyDescent="0.25">
      <c r="C62" s="6"/>
    </row>
    <row r="63" spans="3:3" x14ac:dyDescent="0.25">
      <c r="C63" s="6"/>
    </row>
    <row r="64" spans="3:3" x14ac:dyDescent="0.25">
      <c r="C64" s="6"/>
    </row>
    <row r="65" spans="3:3" x14ac:dyDescent="0.25">
      <c r="C65" s="6"/>
    </row>
    <row r="66" spans="3:3" x14ac:dyDescent="0.25">
      <c r="C66" s="6"/>
    </row>
    <row r="67" spans="3:3" x14ac:dyDescent="0.25">
      <c r="C67" s="6"/>
    </row>
    <row r="68" spans="3:3" x14ac:dyDescent="0.25">
      <c r="C68" s="6"/>
    </row>
    <row r="69" spans="3:3" x14ac:dyDescent="0.25">
      <c r="C69" s="6"/>
    </row>
    <row r="70" spans="3:3" x14ac:dyDescent="0.25">
      <c r="C70" s="6"/>
    </row>
    <row r="71" spans="3:3" x14ac:dyDescent="0.25">
      <c r="C71" s="6"/>
    </row>
    <row r="72" spans="3:3" x14ac:dyDescent="0.25">
      <c r="C72" s="6"/>
    </row>
    <row r="73" spans="3:3" x14ac:dyDescent="0.25">
      <c r="C73" s="6"/>
    </row>
    <row r="74" spans="3:3" x14ac:dyDescent="0.25">
      <c r="C74" s="6"/>
    </row>
    <row r="75" spans="3:3" x14ac:dyDescent="0.25">
      <c r="C75" s="6"/>
    </row>
    <row r="76" spans="3:3" x14ac:dyDescent="0.25">
      <c r="C76" s="6"/>
    </row>
    <row r="77" spans="3:3" x14ac:dyDescent="0.25">
      <c r="C77" s="6"/>
    </row>
    <row r="78" spans="3:3" x14ac:dyDescent="0.25">
      <c r="C78" s="6"/>
    </row>
    <row r="79" spans="3:3" x14ac:dyDescent="0.25">
      <c r="C79" s="6"/>
    </row>
    <row r="80" spans="3:3" x14ac:dyDescent="0.25">
      <c r="C80" s="6"/>
    </row>
    <row r="81" spans="3:3" x14ac:dyDescent="0.25">
      <c r="C81" s="6"/>
    </row>
    <row r="82" spans="3:3" x14ac:dyDescent="0.25">
      <c r="C82" s="6"/>
    </row>
    <row r="83" spans="3:3" x14ac:dyDescent="0.25">
      <c r="C83" s="6"/>
    </row>
    <row r="84" spans="3:3" x14ac:dyDescent="0.25">
      <c r="C84" s="6"/>
    </row>
    <row r="85" spans="3:3" x14ac:dyDescent="0.25">
      <c r="C85" s="6"/>
    </row>
    <row r="86" spans="3:3" x14ac:dyDescent="0.25">
      <c r="C86" s="6"/>
    </row>
    <row r="87" spans="3:3" x14ac:dyDescent="0.25">
      <c r="C87" s="6"/>
    </row>
    <row r="88" spans="3:3" x14ac:dyDescent="0.25">
      <c r="C88" s="6"/>
    </row>
    <row r="89" spans="3:3" x14ac:dyDescent="0.25">
      <c r="C89" s="6"/>
    </row>
    <row r="90" spans="3:3" x14ac:dyDescent="0.25">
      <c r="C90" s="6"/>
    </row>
    <row r="91" spans="3:3" x14ac:dyDescent="0.25">
      <c r="C91" s="6"/>
    </row>
    <row r="92" spans="3:3" x14ac:dyDescent="0.25">
      <c r="C92" s="6"/>
    </row>
    <row r="93" spans="3:3" x14ac:dyDescent="0.25">
      <c r="C93" s="6"/>
    </row>
    <row r="94" spans="3:3" x14ac:dyDescent="0.25">
      <c r="C94" s="6"/>
    </row>
    <row r="95" spans="3:3" x14ac:dyDescent="0.25">
      <c r="C95" s="6"/>
    </row>
    <row r="96" spans="3:3" x14ac:dyDescent="0.25">
      <c r="C96" s="6"/>
    </row>
    <row r="97" spans="3:3" x14ac:dyDescent="0.25">
      <c r="C97" s="6"/>
    </row>
    <row r="98" spans="3:3" x14ac:dyDescent="0.25">
      <c r="C98" s="6"/>
    </row>
  </sheetData>
  <sortState xmlns:xlrd2="http://schemas.microsoft.com/office/spreadsheetml/2017/richdata2" ref="A2:B27">
    <sortCondition ref="A2:A27"/>
  </sortState>
  <phoneticPr fontId="3" type="noConversion"/>
  <dataValidations count="1">
    <dataValidation type="list" allowBlank="1" showInputMessage="1" showErrorMessage="1" sqref="D15" xr:uid="{CD205DB7-3B56-4682-9D66-151DBA4C045C}">
      <formula1>OFFSET(ListPec,,,COUNTA($F$2:$F$34))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19</vt:i4>
      </vt:variant>
    </vt:vector>
  </HeadingPairs>
  <TitlesOfParts>
    <vt:vector size="27" baseType="lpstr">
      <vt:lpstr>Septembre</vt:lpstr>
      <vt:lpstr>Feuil3</vt:lpstr>
      <vt:lpstr>Novembre</vt:lpstr>
      <vt:lpstr>Janvier</vt:lpstr>
      <vt:lpstr>Mars (3RM + taille)</vt:lpstr>
      <vt:lpstr>Mai</vt:lpstr>
      <vt:lpstr>grp travail proto</vt:lpstr>
      <vt:lpstr>ADMIN</vt:lpstr>
      <vt:lpstr>Abdominaux</vt:lpstr>
      <vt:lpstr>DORSAUX</vt:lpstr>
      <vt:lpstr>EPAULES</vt:lpstr>
      <vt:lpstr>FESSIERS</vt:lpstr>
      <vt:lpstr>ListeTest</vt:lpstr>
      <vt:lpstr>ListGroupe</vt:lpstr>
      <vt:lpstr>ListNom</vt:lpstr>
      <vt:lpstr>ListPoste</vt:lpstr>
      <vt:lpstr>ListTest</vt:lpstr>
      <vt:lpstr>PECTORAUX</vt:lpstr>
      <vt:lpstr>QUADRICEPS</vt:lpstr>
      <vt:lpstr>Mai!TBL_PostTest_Controle</vt:lpstr>
      <vt:lpstr>TBL_PostTest_Controle</vt:lpstr>
      <vt:lpstr>Mai!TBL_PostTest_Test</vt:lpstr>
      <vt:lpstr>TBL_PostTest_Test</vt:lpstr>
      <vt:lpstr>Mai!TBL_PréTest_Controle</vt:lpstr>
      <vt:lpstr>TBL_PréTest_Controle</vt:lpstr>
      <vt:lpstr>Mai!TBL_PréTest_Test</vt:lpstr>
      <vt:lpstr>TBL_PréTest_Test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Salcede</dc:creator>
  <cp:keywords/>
  <dc:description/>
  <cp:lastModifiedBy>Jonathan Salcede</cp:lastModifiedBy>
  <cp:revision/>
  <dcterms:created xsi:type="dcterms:W3CDTF">2024-09-28T12:00:34Z</dcterms:created>
  <dcterms:modified xsi:type="dcterms:W3CDTF">2026-05-20T15:03:29Z</dcterms:modified>
  <cp:category/>
  <cp:contentStatus/>
</cp:coreProperties>
</file>